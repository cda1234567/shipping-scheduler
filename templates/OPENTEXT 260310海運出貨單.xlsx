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\\St-nas\個人資料夾\Andy\Job\123\789\"/>
    </mc:Choice>
  </mc:AlternateContent>
  <xr:revisionPtr revIDLastSave="0" documentId="13_ncr:1_{8852A2FC-59AA-4B27-90F9-4B838CCDEAF1}" xr6:coauthVersionLast="47" xr6:coauthVersionMax="47" xr10:uidLastSave="{00000000-0000-0000-0000-000000000000}"/>
  <bookViews>
    <workbookView xWindow="-120" yWindow="-120" windowWidth="29040" windowHeight="15720" tabRatio="599" xr2:uid="{F1F62F3D-4611-4AB5-BDFD-11F90957E214}"/>
  </bookViews>
  <sheets>
    <sheet name="0106空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0" i="1" l="1" a="1"/>
  <c r="O30" i="1" s="1"/>
  <c r="O53" i="1"/>
  <c r="Q53" i="1" s="1"/>
  <c r="Q61" i="1"/>
  <c r="Q57" i="1"/>
  <c r="N53" i="1"/>
  <c r="M53" i="1"/>
  <c r="L53" i="1"/>
  <c r="K53" i="1"/>
  <c r="N49" i="1"/>
  <c r="M49" i="1"/>
  <c r="L49" i="1"/>
  <c r="K49" i="1"/>
  <c r="O49" i="1" s="1"/>
  <c r="Q49" i="1" s="1"/>
  <c r="N45" i="1"/>
  <c r="M45" i="1"/>
  <c r="L45" i="1"/>
  <c r="K45" i="1"/>
  <c r="O45" i="1" s="1"/>
  <c r="Q45" i="1" s="1"/>
  <c r="N41" i="1"/>
  <c r="M41" i="1"/>
  <c r="L41" i="1"/>
  <c r="K41" i="1"/>
  <c r="O41" i="1" s="1"/>
  <c r="Q41" i="1" s="1"/>
  <c r="N28" i="1"/>
  <c r="M28" i="1"/>
  <c r="L28" i="1"/>
  <c r="K28" i="1"/>
  <c r="N24" i="1"/>
  <c r="M24" i="1"/>
  <c r="L24" i="1"/>
  <c r="K24" i="1"/>
  <c r="N20" i="1"/>
  <c r="M20" i="1"/>
  <c r="L20" i="1"/>
  <c r="K20" i="1"/>
  <c r="O20" i="1" s="1"/>
  <c r="N16" i="1"/>
  <c r="O31" i="1" s="1"/>
  <c r="M16" i="1"/>
  <c r="L16" i="1"/>
  <c r="K16" i="1"/>
  <c r="N12" i="1"/>
  <c r="M12" i="1"/>
  <c r="L12" i="1"/>
  <c r="K12" i="1"/>
  <c r="L8" i="1"/>
  <c r="M8" i="1"/>
  <c r="N8" i="1"/>
  <c r="K8" i="1"/>
  <c r="O32" i="1" l="1" a="1"/>
  <c r="O32" i="1" s="1"/>
  <c r="Q63" i="1"/>
  <c r="Q65" i="1" s="1"/>
  <c r="O12" i="1" l="1"/>
  <c r="Q12" i="1" s="1"/>
  <c r="O8" i="1"/>
  <c r="Q8" i="1" s="1"/>
  <c r="Q20" i="1"/>
  <c r="O28" i="1"/>
  <c r="Q28" i="1" s="1"/>
  <c r="O24" i="1"/>
  <c r="Q24" i="1" s="1"/>
  <c r="O16" i="1"/>
  <c r="Q16" i="1" s="1"/>
  <c r="Q30" i="1" l="1"/>
  <c r="Q32" i="1" s="1"/>
  <c r="Q33" i="1" l="1" a="1"/>
  <c r="Q33" i="1" s="1"/>
  <c r="Q66" i="1" a="1"/>
  <c r="Q6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<sst xmlns="http://schemas.openxmlformats.org/spreadsheetml/2006/main" count="104" uniqueCount="59">
  <si>
    <t xml:space="preserve">                                                                         </t>
  </si>
  <si>
    <t xml:space="preserve">                                          </t>
  </si>
  <si>
    <t>箱號</t>
  </si>
  <si>
    <t>每箱數量</t>
  </si>
  <si>
    <t>G.W.</t>
  </si>
  <si>
    <t>材積</t>
  </si>
  <si>
    <t>TEL : 02-82261276</t>
    <phoneticPr fontId="4" type="noConversion"/>
  </si>
  <si>
    <t>FAX : 02-82261279</t>
    <phoneticPr fontId="4" type="noConversion"/>
  </si>
  <si>
    <t>N.W.</t>
    <phoneticPr fontId="4" type="noConversion"/>
  </si>
  <si>
    <t>總  數</t>
    <phoneticPr fontId="4" type="noConversion"/>
  </si>
  <si>
    <t>單  價</t>
    <phoneticPr fontId="4" type="noConversion"/>
  </si>
  <si>
    <t>總       價</t>
    <phoneticPr fontId="4" type="noConversion"/>
  </si>
  <si>
    <r>
      <t>銷項稅額</t>
    </r>
    <r>
      <rPr>
        <b/>
        <sz val="12"/>
        <rFont val="Times New Roman"/>
        <family val="1"/>
      </rPr>
      <t>:</t>
    </r>
  </si>
  <si>
    <t>箱數</t>
    <phoneticPr fontId="4" type="noConversion"/>
  </si>
  <si>
    <t>OPEN TEXT</t>
    <phoneticPr fontId="4" type="noConversion"/>
  </si>
  <si>
    <t>總計</t>
    <phoneticPr fontId="10" type="noConversion"/>
  </si>
  <si>
    <t>小計</t>
    <phoneticPr fontId="4" type="noConversion"/>
  </si>
  <si>
    <t>製單</t>
    <phoneticPr fontId="10" type="noConversion"/>
  </si>
  <si>
    <t>出  貨  單</t>
    <phoneticPr fontId="4" type="noConversion"/>
  </si>
  <si>
    <t>備註:</t>
    <phoneticPr fontId="4" type="noConversion"/>
  </si>
  <si>
    <t>客戶:</t>
    <phoneticPr fontId="4" type="noConversion"/>
  </si>
  <si>
    <t>DATE:</t>
    <phoneticPr fontId="4" type="noConversion"/>
  </si>
  <si>
    <t>INVOICE NO:</t>
    <phoneticPr fontId="4" type="noConversion"/>
  </si>
  <si>
    <t>辰尚企業有限公司</t>
    <phoneticPr fontId="4" type="noConversion"/>
  </si>
  <si>
    <r>
      <t xml:space="preserve">                 </t>
    </r>
    <r>
      <rPr>
        <sz val="11"/>
        <rFont val="新細明體"/>
        <family val="1"/>
        <charset val="136"/>
      </rPr>
      <t>新北市中和區中正路</t>
    </r>
    <r>
      <rPr>
        <sz val="11"/>
        <rFont val="Times New Roman"/>
        <family val="1"/>
      </rPr>
      <t>738</t>
    </r>
    <r>
      <rPr>
        <sz val="11"/>
        <rFont val="新細明體"/>
        <family val="1"/>
        <charset val="136"/>
      </rPr>
      <t>號</t>
    </r>
    <r>
      <rPr>
        <sz val="11"/>
        <rFont val="Times New Roman"/>
        <family val="1"/>
      </rPr>
      <t>16</t>
    </r>
    <r>
      <rPr>
        <sz val="11"/>
        <rFont val="新細明體"/>
        <family val="1"/>
        <charset val="136"/>
      </rPr>
      <t>樓之</t>
    </r>
    <r>
      <rPr>
        <sz val="11"/>
        <rFont val="Times New Roman"/>
        <family val="1"/>
      </rPr>
      <t>7</t>
    </r>
    <phoneticPr fontId="4" type="noConversion"/>
  </si>
  <si>
    <t>Andy</t>
    <phoneticPr fontId="4" type="noConversion"/>
  </si>
  <si>
    <t>總箱數:</t>
    <phoneticPr fontId="4" type="noConversion"/>
  </si>
  <si>
    <t>總材積:</t>
    <phoneticPr fontId="4" type="noConversion"/>
  </si>
  <si>
    <t>總重量:</t>
    <phoneticPr fontId="4" type="noConversion"/>
  </si>
  <si>
    <t>HILLIARD</t>
    <phoneticPr fontId="4" type="noConversion"/>
  </si>
  <si>
    <t>嘜頭</t>
    <phoneticPr fontId="10" type="noConversion"/>
  </si>
  <si>
    <t xml:space="preserve">     內容/說明</t>
    <phoneticPr fontId="4" type="noConversion"/>
  </si>
  <si>
    <t>HARMONIZED CODE: 8544.42.2000</t>
  </si>
  <si>
    <t>HARMONIZED CODE: 8544.42.2000</t>
    <phoneticPr fontId="4" type="noConversion"/>
  </si>
  <si>
    <t>HARMONIZED CODE: 3923.29.0000</t>
  </si>
  <si>
    <t>HARMONIZED CODE: 3923.29.0000</t>
    <phoneticPr fontId="4" type="noConversion"/>
  </si>
  <si>
    <t xml:space="preserve">TC-USB3 Cable AC-40816B </t>
  </si>
  <si>
    <t>PO: 4500059106</t>
  </si>
  <si>
    <t>PO: 4500059106</t>
    <phoneticPr fontId="4" type="noConversion"/>
  </si>
  <si>
    <t xml:space="preserve">TC2-8-R2 Cable AC-40803B </t>
  </si>
  <si>
    <t xml:space="preserve">TC3-8 Cable AC-40566B </t>
  </si>
  <si>
    <t xml:space="preserve">TC6-2 Cable AC-30137B </t>
  </si>
  <si>
    <t xml:space="preserve">TC6-8 Cable AC-30123B </t>
  </si>
  <si>
    <t>TC7-9-9 Cable AC-40618B</t>
  </si>
  <si>
    <t>TP7-NC Power Supply OC-10937B</t>
  </si>
  <si>
    <t xml:space="preserve">TB1 Bag PK-F0001B </t>
  </si>
  <si>
    <t xml:space="preserve">TB4 Bag OC-10714B </t>
  </si>
  <si>
    <t>TB6 Bag OC-10960B</t>
  </si>
  <si>
    <t>HARMONIZED CODE: 8504.40.6001</t>
    <phoneticPr fontId="4" type="noConversion"/>
  </si>
  <si>
    <t>1~16</t>
    <phoneticPr fontId="4" type="noConversion"/>
  </si>
  <si>
    <t>18~49</t>
    <phoneticPr fontId="4" type="noConversion"/>
  </si>
  <si>
    <t>50~54</t>
    <phoneticPr fontId="4" type="noConversion"/>
  </si>
  <si>
    <t>55~70</t>
    <phoneticPr fontId="4" type="noConversion"/>
  </si>
  <si>
    <t>71~78</t>
    <phoneticPr fontId="4" type="noConversion"/>
  </si>
  <si>
    <t>79~96</t>
    <phoneticPr fontId="4" type="noConversion"/>
  </si>
  <si>
    <t>97~156</t>
    <phoneticPr fontId="4" type="noConversion"/>
  </si>
  <si>
    <t>157~158</t>
    <phoneticPr fontId="4" type="noConversion"/>
  </si>
  <si>
    <t>159~162</t>
    <phoneticPr fontId="4" type="noConversion"/>
  </si>
  <si>
    <t>163~168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</si>
</sst>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0.0"/>
    <numFmt numFmtId="177" formatCode="m&quot;月&quot;d&quot;日&quot;"/>
    <numFmt numFmtId="178" formatCode="0.00_);[Red]\(0.00\)"/>
    <numFmt numFmtId="179" formatCode="0.00\'"/>
    <numFmt numFmtId="180" formatCode="&quot;NT$&quot;#,##0.0"/>
    <numFmt numFmtId="181" formatCode="0\ &quot;箱&quot;"/>
    <numFmt numFmtId="182" formatCode="0.0\ &quot;材&quot;"/>
    <numFmt numFmtId="183" formatCode="0.0&quot;公斤&quot;"/>
  </numFmts>
  <fonts count="29">
    <font>
      <sz val="12"/>
      <name val="Times New Roman"/>
      <family val="1"/>
    </font>
    <font>
      <b/>
      <sz val="12"/>
      <name val="Times New Roman"/>
      <family val="1"/>
    </font>
    <font>
      <sz val="12"/>
      <name val="新細明體"/>
      <family val="1"/>
      <charset val="136"/>
    </font>
    <font>
      <b/>
      <sz val="12"/>
      <name val="新細明體"/>
      <family val="1"/>
      <charset val="136"/>
    </font>
    <font>
      <sz val="9"/>
      <name val="新細明體"/>
      <family val="1"/>
      <charset val="136"/>
    </font>
    <font>
      <b/>
      <sz val="12"/>
      <name val="Arial"/>
      <family val="2"/>
    </font>
    <font>
      <sz val="16"/>
      <name val="Coronet (W1)"/>
      <family val="2"/>
    </font>
    <font>
      <sz val="12"/>
      <name val="細明體"/>
      <family val="3"/>
      <charset val="136"/>
    </font>
    <font>
      <b/>
      <sz val="12"/>
      <name val="細明體"/>
      <family val="3"/>
      <charset val="136"/>
    </font>
    <font>
      <b/>
      <sz val="12"/>
      <name val="Calibri"/>
      <family val="2"/>
    </font>
    <font>
      <sz val="9"/>
      <name val="新細明體"/>
      <family val="1"/>
      <charset val="136"/>
    </font>
    <font>
      <sz val="12"/>
      <name val="Calibri"/>
      <family val="2"/>
    </font>
    <font>
      <b/>
      <sz val="12"/>
      <name val="細明體"/>
      <family val="3"/>
      <charset val="136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name val="新細明體"/>
      <family val="1"/>
      <charset val="136"/>
      <scheme val="major"/>
    </font>
    <font>
      <b/>
      <sz val="12"/>
      <name val="新細明體"/>
      <family val="1"/>
      <charset val="136"/>
      <scheme val="major"/>
    </font>
    <font>
      <b/>
      <sz val="14"/>
      <name val="Calibri"/>
      <family val="2"/>
    </font>
    <font>
      <b/>
      <sz val="24"/>
      <name val="新細明體"/>
      <family val="1"/>
      <charset val="136"/>
      <scheme val="major"/>
    </font>
    <font>
      <b/>
      <sz val="26"/>
      <name val="新細明體"/>
      <family val="1"/>
      <charset val="136"/>
      <scheme val="major"/>
    </font>
    <font>
      <sz val="11"/>
      <name val="Times New Roman"/>
      <family val="1"/>
    </font>
    <font>
      <sz val="11"/>
      <name val="新細明體"/>
      <family val="1"/>
      <charset val="136"/>
    </font>
    <font>
      <b/>
      <sz val="12"/>
      <name val="Microsoft JhengHei Light"/>
      <family val="2"/>
      <charset val="136"/>
    </font>
    <font>
      <b/>
      <sz val="10"/>
      <name val="Microsoft JhengHei Light"/>
      <family val="2"/>
      <charset val="136"/>
    </font>
    <font>
      <sz val="12"/>
      <name val="Microsoft JhengHei Light"/>
      <family val="2"/>
      <charset val="136"/>
    </font>
    <font>
      <b/>
      <sz val="10"/>
      <color theme="1"/>
      <name val="Microsoft JhengHei Light"/>
      <family val="2"/>
      <charset val="136"/>
    </font>
    <font>
      <sz val="10"/>
      <name val="Microsoft JhengHei Light"/>
      <family val="2"/>
      <charset val="136"/>
    </font>
    <font>
      <sz val="12"/>
      <name val="Times New Roman"/>
      <family val="1"/>
      <charset val="136"/>
    </font>
    <font>
      <sz val="10"/>
      <color theme="1"/>
      <name val="Microsoft JhengHei Light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6">
    <xf numFmtId="0" fontId="0" fillId="0" borderId="0" xfId="0"/>
    <xf numFmtId="0" fontId="0" fillId="0" borderId="13" xfId="0" applyBorder="1"/>
    <xf numFmtId="0" fontId="1" fillId="0" borderId="12" xfId="0" applyFont="1" applyBorder="1" applyAlignment="1">
      <alignment horizontal="center"/>
    </xf>
    <xf numFmtId="0" fontId="1" fillId="0" borderId="15" xfId="0" applyFont="1" applyBorder="1"/>
    <xf numFmtId="0" fontId="0" fillId="0" borderId="4" xfId="0" applyBorder="1"/>
    <xf numFmtId="178" fontId="9" fillId="3" borderId="3" xfId="0" applyNumberFormat="1" applyFont="1" applyFill="1" applyBorder="1" applyAlignment="1">
      <alignment horizontal="right"/>
    </xf>
    <xf numFmtId="178" fontId="9" fillId="3" borderId="10" xfId="0" applyNumberFormat="1" applyFont="1" applyFill="1" applyBorder="1"/>
    <xf numFmtId="0" fontId="13" fillId="3" borderId="3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right" vertical="center"/>
    </xf>
    <xf numFmtId="0" fontId="7" fillId="0" borderId="0" xfId="0" applyFont="1"/>
    <xf numFmtId="177" fontId="0" fillId="0" borderId="1" xfId="0" applyNumberFormat="1" applyBorder="1"/>
    <xf numFmtId="0" fontId="1" fillId="0" borderId="12" xfId="0" applyFont="1" applyBorder="1" applyAlignment="1">
      <alignment horizontal="right"/>
    </xf>
    <xf numFmtId="0" fontId="23" fillId="3" borderId="17" xfId="0" applyFont="1" applyFill="1" applyBorder="1" applyAlignment="1">
      <alignment horizontal="center"/>
    </xf>
    <xf numFmtId="0" fontId="25" fillId="3" borderId="17" xfId="0" applyFont="1" applyFill="1" applyBorder="1" applyAlignment="1">
      <alignment horizontal="center" vertical="center"/>
    </xf>
    <xf numFmtId="0" fontId="23" fillId="0" borderId="17" xfId="0" applyFont="1" applyBorder="1" applyAlignment="1">
      <alignment horizontal="center"/>
    </xf>
    <xf numFmtId="0" fontId="2" fillId="0" borderId="0" xfId="0" applyFont="1"/>
    <xf numFmtId="0" fontId="23" fillId="3" borderId="3" xfId="0" applyFont="1" applyFill="1" applyBorder="1" applyAlignment="1">
      <alignment horizontal="center"/>
    </xf>
    <xf numFmtId="177" fontId="25" fillId="3" borderId="3" xfId="0" applyNumberFormat="1" applyFont="1" applyFill="1" applyBorder="1" applyAlignment="1">
      <alignment horizontal="center" vertical="center"/>
    </xf>
    <xf numFmtId="0" fontId="25" fillId="3" borderId="3" xfId="0" applyFont="1" applyFill="1" applyBorder="1" applyAlignment="1">
      <alignment horizontal="center" vertical="center"/>
    </xf>
    <xf numFmtId="178" fontId="25" fillId="3" borderId="3" xfId="0" applyNumberFormat="1" applyFont="1" applyFill="1" applyBorder="1" applyAlignment="1">
      <alignment horizontal="center" vertical="center"/>
    </xf>
    <xf numFmtId="179" fontId="25" fillId="3" borderId="3" xfId="0" applyNumberFormat="1" applyFont="1" applyFill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178" fontId="25" fillId="0" borderId="3" xfId="0" applyNumberFormat="1" applyFont="1" applyBorder="1" applyAlignment="1">
      <alignment horizontal="center" vertical="center"/>
    </xf>
    <xf numFmtId="179" fontId="25" fillId="0" borderId="3" xfId="0" applyNumberFormat="1" applyFont="1" applyBorder="1" applyAlignment="1">
      <alignment horizontal="center" vertical="center"/>
    </xf>
    <xf numFmtId="0" fontId="26" fillId="3" borderId="3" xfId="0" applyFont="1" applyFill="1" applyBorder="1"/>
    <xf numFmtId="178" fontId="23" fillId="3" borderId="3" xfId="0" applyNumberFormat="1" applyFont="1" applyFill="1" applyBorder="1" applyAlignment="1">
      <alignment horizontal="right"/>
    </xf>
    <xf numFmtId="178" fontId="26" fillId="3" borderId="3" xfId="0" applyNumberFormat="1" applyFont="1" applyFill="1" applyBorder="1"/>
    <xf numFmtId="178" fontId="23" fillId="0" borderId="3" xfId="0" applyNumberFormat="1" applyFont="1" applyBorder="1" applyAlignment="1">
      <alignment horizontal="right"/>
    </xf>
    <xf numFmtId="180" fontId="23" fillId="3" borderId="3" xfId="0" applyNumberFormat="1" applyFont="1" applyFill="1" applyBorder="1" applyAlignment="1">
      <alignment horizontal="right"/>
    </xf>
    <xf numFmtId="0" fontId="19" fillId="0" borderId="0" xfId="0" applyFont="1" applyAlignment="1">
      <alignment vertical="top"/>
    </xf>
    <xf numFmtId="0" fontId="16" fillId="0" borderId="0" xfId="0" applyFont="1"/>
    <xf numFmtId="0" fontId="9" fillId="0" borderId="0" xfId="0" applyFont="1" applyAlignment="1">
      <alignment horizontal="left" vertical="center"/>
    </xf>
    <xf numFmtId="0" fontId="20" fillId="4" borderId="0" xfId="0" applyFont="1" applyFill="1" applyAlignment="1">
      <alignment vertical="top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right" vertic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0" fontId="19" fillId="0" borderId="12" xfId="0" applyFont="1" applyBorder="1" applyAlignment="1">
      <alignment vertical="top"/>
    </xf>
    <xf numFmtId="0" fontId="16" fillId="0" borderId="12" xfId="0" applyFont="1" applyBorder="1"/>
    <xf numFmtId="0" fontId="16" fillId="0" borderId="15" xfId="0" applyFont="1" applyBorder="1"/>
    <xf numFmtId="49" fontId="16" fillId="0" borderId="4" xfId="0" applyNumberFormat="1" applyFont="1" applyBorder="1" applyAlignment="1">
      <alignment horizontal="left" vertical="center"/>
    </xf>
    <xf numFmtId="0" fontId="20" fillId="4" borderId="13" xfId="0" applyFont="1" applyFill="1" applyBorder="1" applyAlignment="1">
      <alignment vertical="top"/>
    </xf>
    <xf numFmtId="0" fontId="15" fillId="0" borderId="4" xfId="0" applyFont="1" applyBorder="1"/>
    <xf numFmtId="178" fontId="9" fillId="0" borderId="4" xfId="0" applyNumberFormat="1" applyFont="1" applyBorder="1" applyAlignment="1">
      <alignment horizontal="right"/>
    </xf>
    <xf numFmtId="178" fontId="9" fillId="0" borderId="2" xfId="0" applyNumberFormat="1" applyFont="1" applyBorder="1"/>
    <xf numFmtId="0" fontId="1" fillId="0" borderId="13" xfId="0" applyFont="1" applyBorder="1" applyAlignment="1">
      <alignment horizontal="center" wrapText="1"/>
    </xf>
    <xf numFmtId="0" fontId="1" fillId="0" borderId="13" xfId="0" applyFont="1" applyBorder="1" applyAlignment="1">
      <alignment wrapText="1"/>
    </xf>
    <xf numFmtId="0" fontId="6" fillId="0" borderId="4" xfId="0" applyFont="1" applyBorder="1"/>
    <xf numFmtId="0" fontId="1" fillId="0" borderId="16" xfId="0" applyFont="1" applyBorder="1" applyAlignment="1">
      <alignment wrapText="1"/>
    </xf>
    <xf numFmtId="0" fontId="0" fillId="0" borderId="2" xfId="0" applyBorder="1"/>
    <xf numFmtId="180" fontId="23" fillId="5" borderId="14" xfId="0" applyNumberFormat="1" applyFont="1" applyFill="1" applyBorder="1" applyAlignment="1">
      <alignment horizontal="right"/>
    </xf>
    <xf numFmtId="178" fontId="3" fillId="0" borderId="14" xfId="0" applyNumberFormat="1" applyFont="1" applyBorder="1" applyAlignment="1">
      <alignment horizontal="center"/>
    </xf>
    <xf numFmtId="178" fontId="9" fillId="0" borderId="15" xfId="0" applyNumberFormat="1" applyFont="1" applyBorder="1" applyAlignment="1">
      <alignment horizontal="right"/>
    </xf>
    <xf numFmtId="178" fontId="3" fillId="0" borderId="13" xfId="0" applyNumberFormat="1" applyFont="1" applyBorder="1" applyAlignment="1">
      <alignment horizontal="left" vertical="center"/>
    </xf>
    <xf numFmtId="178" fontId="12" fillId="0" borderId="16" xfId="0" applyNumberFormat="1" applyFont="1" applyBorder="1" applyAlignment="1">
      <alignment horizontal="left" vertical="center"/>
    </xf>
    <xf numFmtId="0" fontId="23" fillId="3" borderId="19" xfId="0" applyFont="1" applyFill="1" applyBorder="1" applyAlignment="1">
      <alignment horizontal="center"/>
    </xf>
    <xf numFmtId="0" fontId="9" fillId="3" borderId="8" xfId="0" applyFont="1" applyFill="1" applyBorder="1" applyAlignment="1">
      <alignment horizontal="center"/>
    </xf>
    <xf numFmtId="176" fontId="9" fillId="3" borderId="8" xfId="0" applyNumberFormat="1" applyFont="1" applyFill="1" applyBorder="1" applyAlignment="1">
      <alignment horizontal="center"/>
    </xf>
    <xf numFmtId="179" fontId="9" fillId="3" borderId="8" xfId="0" applyNumberFormat="1" applyFont="1" applyFill="1" applyBorder="1" applyAlignment="1">
      <alignment horizontal="center"/>
    </xf>
    <xf numFmtId="178" fontId="9" fillId="3" borderId="8" xfId="0" applyNumberFormat="1" applyFont="1" applyFill="1" applyBorder="1" applyAlignment="1">
      <alignment horizontal="right"/>
    </xf>
    <xf numFmtId="178" fontId="9" fillId="3" borderId="9" xfId="0" applyNumberFormat="1" applyFont="1" applyFill="1" applyBorder="1"/>
    <xf numFmtId="0" fontId="14" fillId="0" borderId="3" xfId="0" applyFont="1" applyBorder="1" applyAlignment="1">
      <alignment vertical="center"/>
    </xf>
    <xf numFmtId="178" fontId="9" fillId="0" borderId="10" xfId="0" applyNumberFormat="1" applyFont="1" applyBorder="1"/>
    <xf numFmtId="0" fontId="13" fillId="0" borderId="3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/>
    </xf>
    <xf numFmtId="0" fontId="16" fillId="2" borderId="21" xfId="0" applyFont="1" applyFill="1" applyBorder="1" applyAlignment="1">
      <alignment horizontal="center"/>
    </xf>
    <xf numFmtId="0" fontId="9" fillId="2" borderId="21" xfId="0" applyFont="1" applyFill="1" applyBorder="1" applyAlignment="1">
      <alignment horizontal="center"/>
    </xf>
    <xf numFmtId="0" fontId="23" fillId="0" borderId="20" xfId="0" applyFont="1" applyBorder="1" applyAlignment="1">
      <alignment horizontal="center"/>
    </xf>
    <xf numFmtId="0" fontId="8" fillId="0" borderId="21" xfId="0" applyFont="1" applyBorder="1" applyAlignment="1">
      <alignment vertical="center"/>
    </xf>
    <xf numFmtId="0" fontId="13" fillId="0" borderId="5" xfId="0" applyFont="1" applyBorder="1" applyAlignment="1">
      <alignment horizontal="center" vertical="center"/>
    </xf>
    <xf numFmtId="178" fontId="9" fillId="0" borderId="5" xfId="0" applyNumberFormat="1" applyFont="1" applyBorder="1" applyAlignment="1">
      <alignment horizontal="right"/>
    </xf>
    <xf numFmtId="178" fontId="9" fillId="0" borderId="18" xfId="0" applyNumberFormat="1" applyFont="1" applyBorder="1"/>
    <xf numFmtId="30" fontId="22" fillId="0" borderId="2" xfId="0" applyNumberFormat="1" applyFont="1" applyBorder="1" applyAlignment="1">
      <alignment horizontal="center"/>
    </xf>
    <xf numFmtId="181" fontId="23" fillId="5" borderId="9" xfId="0" applyNumberFormat="1" applyFont="1" applyFill="1" applyBorder="1" applyAlignment="1">
      <alignment horizontal="center"/>
    </xf>
    <xf numFmtId="182" fontId="23" fillId="0" borderId="10" xfId="0" applyNumberFormat="1" applyFont="1" applyBorder="1" applyAlignment="1">
      <alignment horizontal="center"/>
    </xf>
    <xf numFmtId="183" fontId="23" fillId="0" borderId="10" xfId="0" applyNumberFormat="1" applyFont="1" applyBorder="1" applyAlignment="1">
      <alignment horizontal="center"/>
    </xf>
    <xf numFmtId="0" fontId="22" fillId="0" borderId="24" xfId="0" applyFont="1" applyBorder="1"/>
    <xf numFmtId="0" fontId="24" fillId="0" borderId="25" xfId="0" applyFont="1" applyBorder="1" applyAlignment="1">
      <alignment horizontal="center"/>
    </xf>
    <xf numFmtId="180" fontId="23" fillId="0" borderId="17" xfId="0" applyNumberFormat="1" applyFont="1" applyBorder="1" applyAlignment="1">
      <alignment horizontal="right"/>
    </xf>
    <xf numFmtId="0" fontId="25" fillId="3" borderId="26" xfId="0" applyFont="1" applyFill="1" applyBorder="1" applyAlignment="1">
      <alignment vertical="center"/>
    </xf>
    <xf numFmtId="0" fontId="9" fillId="3" borderId="27" xfId="0" applyFont="1" applyFill="1" applyBorder="1"/>
    <xf numFmtId="0" fontId="9" fillId="3" borderId="28" xfId="0" applyFont="1" applyFill="1" applyBorder="1"/>
    <xf numFmtId="0" fontId="9" fillId="0" borderId="27" xfId="0" applyFont="1" applyBorder="1"/>
    <xf numFmtId="0" fontId="9" fillId="0" borderId="28" xfId="0" applyFont="1" applyBorder="1"/>
    <xf numFmtId="0" fontId="13" fillId="3" borderId="27" xfId="0" applyFont="1" applyFill="1" applyBorder="1" applyAlignment="1">
      <alignment vertical="center"/>
    </xf>
    <xf numFmtId="0" fontId="13" fillId="3" borderId="28" xfId="0" applyFont="1" applyFill="1" applyBorder="1" applyAlignment="1">
      <alignment vertical="center"/>
    </xf>
    <xf numFmtId="0" fontId="25" fillId="0" borderId="29" xfId="0" applyFont="1" applyBorder="1" applyAlignment="1">
      <alignment horizontal="center" vertical="center"/>
    </xf>
    <xf numFmtId="178" fontId="25" fillId="0" borderId="29" xfId="0" applyNumberFormat="1" applyFont="1" applyBorder="1" applyAlignment="1">
      <alignment horizontal="center" vertical="center"/>
    </xf>
    <xf numFmtId="179" fontId="25" fillId="0" borderId="29" xfId="0" applyNumberFormat="1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178" fontId="25" fillId="0" borderId="30" xfId="0" applyNumberFormat="1" applyFont="1" applyBorder="1" applyAlignment="1">
      <alignment horizontal="center" vertical="center"/>
    </xf>
    <xf numFmtId="179" fontId="25" fillId="0" borderId="30" xfId="0" applyNumberFormat="1" applyFont="1" applyBorder="1" applyAlignment="1">
      <alignment horizontal="center" vertical="center"/>
    </xf>
    <xf numFmtId="0" fontId="27" fillId="0" borderId="0" xfId="0" applyFont="1"/>
    <xf numFmtId="0" fontId="25" fillId="3" borderId="26" xfId="0" applyFont="1" applyFill="1" applyBorder="1"/>
    <xf numFmtId="0" fontId="25" fillId="0" borderId="26" xfId="0" applyFont="1" applyBorder="1"/>
    <xf numFmtId="0" fontId="23" fillId="3" borderId="31" xfId="0" applyFont="1" applyFill="1" applyBorder="1"/>
    <xf numFmtId="0" fontId="23" fillId="3" borderId="32" xfId="0" applyFont="1" applyFill="1" applyBorder="1"/>
    <xf numFmtId="0" fontId="25" fillId="3" borderId="3" xfId="0" applyFont="1" applyFill="1" applyBorder="1" applyAlignment="1">
      <alignment horizontal="center"/>
    </xf>
    <xf numFmtId="178" fontId="25" fillId="3" borderId="3" xfId="0" applyNumberFormat="1" applyFont="1" applyFill="1" applyBorder="1" applyAlignment="1">
      <alignment horizontal="center"/>
    </xf>
    <xf numFmtId="179" fontId="25" fillId="3" borderId="3" xfId="0" applyNumberFormat="1" applyFont="1" applyFill="1" applyBorder="1" applyAlignment="1">
      <alignment horizontal="center"/>
    </xf>
    <xf numFmtId="0" fontId="28" fillId="0" borderId="3" xfId="0" applyFont="1" applyBorder="1"/>
    <xf numFmtId="0" fontId="28" fillId="0" borderId="0" xfId="0" applyFont="1"/>
    <xf numFmtId="178" fontId="28" fillId="0" borderId="3" xfId="0" applyNumberFormat="1" applyFont="1" applyBorder="1"/>
    <xf numFmtId="179" fontId="28" fillId="0" borderId="3" xfId="0" applyNumberFormat="1" applyFont="1" applyBorder="1"/>
    <xf numFmtId="0" fontId="16" fillId="2" borderId="22" xfId="0" applyFont="1" applyFill="1" applyBorder="1" applyAlignment="1">
      <alignment horizontal="left"/>
    </xf>
    <xf numFmtId="0" fontId="16" fillId="2" borderId="23" xfId="0" applyFont="1" applyFill="1" applyBorder="1" applyAlignment="1">
      <alignment horizontal="left"/>
    </xf>
    <xf numFmtId="0" fontId="9" fillId="0" borderId="14" xfId="0" applyFont="1" applyBorder="1" applyAlignment="1">
      <alignment horizontal="center" wrapText="1"/>
    </xf>
    <xf numFmtId="0" fontId="9" fillId="0" borderId="12" xfId="0" applyFont="1" applyBorder="1" applyAlignment="1">
      <alignment horizontal="center" wrapText="1"/>
    </xf>
    <xf numFmtId="0" fontId="9" fillId="0" borderId="15" xfId="0" applyFont="1" applyBorder="1" applyAlignment="1">
      <alignment horizontal="center" wrapText="1"/>
    </xf>
    <xf numFmtId="0" fontId="9" fillId="0" borderId="13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9" fillId="0" borderId="4" xfId="0" applyFont="1" applyBorder="1" applyAlignment="1">
      <alignment horizontal="center" wrapText="1"/>
    </xf>
    <xf numFmtId="0" fontId="9" fillId="0" borderId="16" xfId="0" applyFont="1" applyBorder="1" applyAlignment="1">
      <alignment horizontal="center" wrapText="1"/>
    </xf>
    <xf numFmtId="0" fontId="9" fillId="0" borderId="1" xfId="0" applyFont="1" applyBorder="1" applyAlignment="1">
      <alignment horizontal="center" wrapText="1"/>
    </xf>
    <xf numFmtId="0" fontId="9" fillId="0" borderId="2" xfId="0" applyFont="1" applyBorder="1" applyAlignment="1">
      <alignment horizontal="center" wrapText="1"/>
    </xf>
    <xf numFmtId="0" fontId="9" fillId="0" borderId="0" xfId="0" applyFont="1" applyAlignment="1">
      <alignment horizontal="center"/>
    </xf>
    <xf numFmtId="0" fontId="9" fillId="0" borderId="12" xfId="0" applyFont="1" applyBorder="1" applyAlignment="1">
      <alignment horizontal="center"/>
    </xf>
    <xf numFmtId="0" fontId="18" fillId="0" borderId="12" xfId="0" applyFont="1" applyBorder="1" applyAlignment="1">
      <alignment horizontal="center" vertical="top"/>
    </xf>
    <xf numFmtId="0" fontId="18" fillId="0" borderId="0" xfId="0" applyFont="1" applyAlignment="1">
      <alignment horizontal="center" vertical="top"/>
    </xf>
    <xf numFmtId="0" fontId="17" fillId="0" borderId="0" xfId="0" applyFont="1" applyAlignment="1">
      <alignment horizontal="left" vertical="center"/>
    </xf>
    <xf numFmtId="0" fontId="19" fillId="4" borderId="14" xfId="0" applyFont="1" applyFill="1" applyBorder="1" applyAlignment="1">
      <alignment horizontal="center" vertical="top"/>
    </xf>
    <xf numFmtId="0" fontId="19" fillId="4" borderId="12" xfId="0" applyFont="1" applyFill="1" applyBorder="1" applyAlignment="1">
      <alignment horizontal="center" vertical="top"/>
    </xf>
    <xf numFmtId="0" fontId="19" fillId="4" borderId="13" xfId="0" applyFont="1" applyFill="1" applyBorder="1" applyAlignment="1">
      <alignment horizontal="center" vertical="top"/>
    </xf>
    <xf numFmtId="0" fontId="19" fillId="4" borderId="0" xfId="0" applyFont="1" applyFill="1" applyAlignment="1">
      <alignment horizontal="center" vertical="top"/>
    </xf>
    <xf numFmtId="0" fontId="16" fillId="0" borderId="11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9" fillId="0" borderId="5" xfId="0" applyFont="1" applyBorder="1" applyAlignment="1">
      <alignment horizontal="left"/>
    </xf>
    <xf numFmtId="0" fontId="11" fillId="0" borderId="1" xfId="0" applyFont="1" applyBorder="1" applyAlignment="1">
      <alignment horizontal="right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154641</xdr:colOff>
      <xdr:row>29</xdr:row>
      <xdr:rowOff>46382</xdr:rowOff>
    </xdr:from>
    <xdr:to>
      <xdr:col>7</xdr:col>
      <xdr:colOff>156882</xdr:colOff>
      <xdr:row>32</xdr:row>
      <xdr:rowOff>22412</xdr:rowOff>
    </xdr:to>
    <xdr:sp macro="" textlink="">
      <xdr:nvSpPr>
        <xdr:cNvPr id="2" name="流程圖: 決策 1">
          <a:extLst>
            <a:ext uri="{FF2B5EF4-FFF2-40B4-BE49-F238E27FC236}">
              <a16:creationId xmlns:a16="http://schemas.microsoft.com/office/drawing/2014/main" id="{AFEB8DEB-9425-6445-AE56-E5C1740BF4D6}"/>
            </a:ext>
          </a:extLst>
        </xdr:cNvPr>
        <xdr:cNvSpPr/>
      </xdr:nvSpPr>
      <xdr:spPr bwMode="auto">
        <a:xfrm>
          <a:off x="1510553" y="6243235"/>
          <a:ext cx="2008094" cy="659589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n-US" altLang="zh-TW" sz="1800"/>
            <a:t>OPENTEXT</a:t>
          </a:r>
          <a:endParaRPr lang="zh-TW" altLang="en-US" sz="1100"/>
        </a:p>
      </xdr:txBody>
    </xdr:sp>
    <xdr:clientData/>
  </xdr:twoCellAnchor>
  <xdr:twoCellAnchor>
    <xdr:from>
      <xdr:col>4</xdr:col>
      <xdr:colOff>154641</xdr:colOff>
      <xdr:row>62</xdr:row>
      <xdr:rowOff>46382</xdr:rowOff>
    </xdr:from>
    <xdr:to>
      <xdr:col>7</xdr:col>
      <xdr:colOff>156882</xdr:colOff>
      <xdr:row>65</xdr:row>
      <xdr:rowOff>22412</xdr:rowOff>
    </xdr:to>
    <xdr:sp macro="" textlink="">
      <xdr:nvSpPr>
        <xdr:cNvPr id="3" name="流程圖: 決策 2">
          <a:extLst>
            <a:ext uri="{FF2B5EF4-FFF2-40B4-BE49-F238E27FC236}">
              <a16:creationId xmlns:a16="http://schemas.microsoft.com/office/drawing/2014/main" id="{12B7FC19-7B78-40AA-A3B7-10CEF4E499F8}"/>
            </a:ext>
          </a:extLst>
        </xdr:cNvPr>
        <xdr:cNvSpPr/>
      </xdr:nvSpPr>
      <xdr:spPr bwMode="auto">
        <a:xfrm>
          <a:off x="1754841" y="6399557"/>
          <a:ext cx="2012016" cy="633255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n-US" altLang="zh-TW" sz="1800"/>
            <a:t>OPENTEXT</a:t>
          </a:r>
          <a:endParaRPr lang="zh-TW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8E7E9-504C-4C27-9729-190C88C83C89}">
  <sheetPr codeName="工作表1"/>
  <dimension ref="A1:Q66"/>
  <sheetViews>
    <sheetView tabSelected="1" view="pageBreakPreview" topLeftCell="A3" zoomScaleNormal="100" zoomScaleSheetLayoutView="100" workbookViewId="0">
      <selection activeCell="I20" sqref="I20"/>
    </sheetView>
  </sheetViews>
  <sheetFormatPr defaultRowHeight="15.75"/>
  <cols>
    <col min="1" max="2" width="3.125" customWidth="1"/>
    <col min="3" max="3" width="11.625" customWidth="1"/>
    <col min="4" max="4" width="3.125" customWidth="1"/>
    <col min="5" max="5" width="11.625" customWidth="1"/>
    <col min="6" max="6" width="3.125" customWidth="1"/>
    <col min="7" max="7" width="11.625" customWidth="1"/>
    <col min="8" max="8" width="4.625" customWidth="1"/>
    <col min="9" max="9" width="7.5" bestFit="1" customWidth="1"/>
    <col min="10" max="10" width="6.125" bestFit="1" customWidth="1"/>
    <col min="11" max="11" width="10.625" bestFit="1" customWidth="1"/>
    <col min="12" max="12" width="9.125" bestFit="1" customWidth="1"/>
    <col min="13" max="13" width="7.875" customWidth="1"/>
    <col min="14" max="14" width="7.625" customWidth="1"/>
    <col min="15" max="15" width="11.25" customWidth="1"/>
    <col min="16" max="16" width="10.875" customWidth="1"/>
    <col min="17" max="17" width="14.375" customWidth="1"/>
  </cols>
  <sheetData>
    <row r="1" spans="1:17" ht="17.25" customHeight="1">
      <c r="A1" s="121" t="s">
        <v>23</v>
      </c>
      <c r="B1" s="122"/>
      <c r="C1" s="122"/>
      <c r="D1" s="122"/>
      <c r="E1" s="122"/>
      <c r="F1" s="122"/>
      <c r="G1" s="122"/>
      <c r="H1" s="38"/>
      <c r="I1" s="118" t="s">
        <v>18</v>
      </c>
      <c r="J1" s="118"/>
      <c r="K1" s="118"/>
      <c r="L1" s="117"/>
      <c r="M1" s="117"/>
      <c r="N1" s="117"/>
      <c r="O1" s="39"/>
      <c r="P1" s="39"/>
      <c r="Q1" s="40"/>
    </row>
    <row r="2" spans="1:17" ht="17.25" customHeight="1">
      <c r="A2" s="123"/>
      <c r="B2" s="124"/>
      <c r="C2" s="124"/>
      <c r="D2" s="124"/>
      <c r="E2" s="124"/>
      <c r="F2" s="124"/>
      <c r="G2" s="124"/>
      <c r="H2" s="29"/>
      <c r="I2" s="119"/>
      <c r="J2" s="119"/>
      <c r="K2" s="119"/>
      <c r="L2" s="116" t="s">
        <v>6</v>
      </c>
      <c r="M2" s="116"/>
      <c r="N2" s="116"/>
      <c r="O2" s="30"/>
      <c r="P2" s="31" t="s">
        <v>22</v>
      </c>
      <c r="Q2" s="41"/>
    </row>
    <row r="3" spans="1:17" ht="17.25" customHeight="1" thickBot="1">
      <c r="A3" s="42" t="s">
        <v>24</v>
      </c>
      <c r="B3" s="32"/>
      <c r="C3" s="32"/>
      <c r="D3" s="32"/>
      <c r="E3" s="32"/>
      <c r="F3" s="32"/>
      <c r="G3" s="32"/>
      <c r="H3" s="30"/>
      <c r="I3" s="119"/>
      <c r="J3" s="119"/>
      <c r="K3" s="119"/>
      <c r="L3" s="116" t="s">
        <v>7</v>
      </c>
      <c r="M3" s="116"/>
      <c r="N3" s="116"/>
      <c r="O3" s="30"/>
      <c r="P3" s="31" t="s">
        <v>21</v>
      </c>
      <c r="Q3" s="73">
        <v>46091</v>
      </c>
    </row>
    <row r="4" spans="1:17" ht="17.25" customHeight="1" thickBot="1">
      <c r="A4" s="1"/>
      <c r="B4" s="33"/>
      <c r="C4" s="34" t="s">
        <v>20</v>
      </c>
      <c r="D4" s="120" t="s">
        <v>14</v>
      </c>
      <c r="E4" s="120"/>
      <c r="F4" s="30"/>
      <c r="G4" s="30"/>
      <c r="H4" s="30"/>
      <c r="I4" s="30"/>
      <c r="J4" s="35"/>
      <c r="K4" s="30"/>
      <c r="L4" s="30"/>
      <c r="M4" s="36" t="s">
        <v>0</v>
      </c>
      <c r="N4" s="37" t="s">
        <v>1</v>
      </c>
      <c r="O4" s="30"/>
      <c r="P4" s="35"/>
      <c r="Q4" s="43"/>
    </row>
    <row r="5" spans="1:17" ht="17.25" customHeight="1" thickBot="1">
      <c r="A5" s="105" t="s">
        <v>31</v>
      </c>
      <c r="B5" s="106"/>
      <c r="C5" s="106"/>
      <c r="D5" s="106"/>
      <c r="E5" s="106"/>
      <c r="F5" s="106"/>
      <c r="G5" s="106"/>
      <c r="H5" s="106"/>
      <c r="I5" s="66" t="s">
        <v>2</v>
      </c>
      <c r="J5" s="66" t="s">
        <v>13</v>
      </c>
      <c r="K5" s="66" t="s">
        <v>3</v>
      </c>
      <c r="L5" s="67" t="s">
        <v>8</v>
      </c>
      <c r="M5" s="67" t="s">
        <v>4</v>
      </c>
      <c r="N5" s="66" t="s">
        <v>5</v>
      </c>
      <c r="O5" s="66" t="s">
        <v>9</v>
      </c>
      <c r="P5" s="66" t="s">
        <v>10</v>
      </c>
      <c r="Q5" s="66" t="s">
        <v>11</v>
      </c>
    </row>
    <row r="6" spans="1:17" ht="17.25" customHeight="1">
      <c r="A6" s="56">
        <v>1</v>
      </c>
      <c r="B6" s="94" t="s">
        <v>33</v>
      </c>
      <c r="C6" s="96"/>
      <c r="D6" s="96"/>
      <c r="E6" s="96"/>
      <c r="F6" s="96"/>
      <c r="G6" s="96"/>
      <c r="H6" s="97"/>
      <c r="I6" s="57"/>
      <c r="J6" s="57"/>
      <c r="K6" s="57"/>
      <c r="L6" s="58"/>
      <c r="M6" s="58"/>
      <c r="N6" s="59"/>
      <c r="O6" s="57"/>
      <c r="P6" s="60"/>
      <c r="Q6" s="61"/>
    </row>
    <row r="7" spans="1:17" ht="17.25" customHeight="1">
      <c r="A7" s="13"/>
      <c r="B7" s="80" t="s">
        <v>38</v>
      </c>
      <c r="C7" s="85"/>
      <c r="D7" s="85"/>
      <c r="E7" s="85"/>
      <c r="F7" s="85"/>
      <c r="G7" s="85"/>
      <c r="H7" s="86"/>
      <c r="I7" s="17" t="s">
        <v>51</v>
      </c>
      <c r="J7" s="18">
        <v>5</v>
      </c>
      <c r="K7" s="18">
        <v>400</v>
      </c>
      <c r="L7" s="19">
        <v>6</v>
      </c>
      <c r="M7" s="19">
        <v>7</v>
      </c>
      <c r="N7" s="20">
        <v>1.2</v>
      </c>
      <c r="O7" s="7"/>
      <c r="P7" s="5"/>
      <c r="Q7" s="6"/>
    </row>
    <row r="8" spans="1:17" ht="17.25" customHeight="1">
      <c r="A8" s="12"/>
      <c r="B8" s="94" t="s">
        <v>39</v>
      </c>
      <c r="C8" s="81"/>
      <c r="D8" s="81"/>
      <c r="E8" s="81"/>
      <c r="F8" s="81"/>
      <c r="G8" s="81"/>
      <c r="H8" s="82"/>
      <c r="I8" s="17"/>
      <c r="J8" s="18"/>
      <c r="K8" s="18">
        <f>K7*$J7</f>
        <v>2000</v>
      </c>
      <c r="L8" s="18">
        <f t="shared" ref="L8:N8" si="0">L7*$J7</f>
        <v>30</v>
      </c>
      <c r="M8" s="18">
        <f t="shared" si="0"/>
        <v>35</v>
      </c>
      <c r="N8" s="20">
        <f t="shared" si="0"/>
        <v>6</v>
      </c>
      <c r="O8" s="7">
        <f>K8+K9</f>
        <v>2000</v>
      </c>
      <c r="P8" s="25">
        <v>4.2</v>
      </c>
      <c r="Q8" s="6">
        <f>P8*O8</f>
        <v>8400</v>
      </c>
    </row>
    <row r="9" spans="1:17" ht="17.25" customHeight="1">
      <c r="A9" s="12"/>
      <c r="B9" s="94"/>
      <c r="C9" s="81"/>
      <c r="D9" s="81"/>
      <c r="E9" s="81"/>
      <c r="F9" s="81"/>
      <c r="G9" s="81"/>
      <c r="H9" s="82"/>
      <c r="I9" s="18"/>
      <c r="J9" s="18"/>
      <c r="K9" s="18"/>
      <c r="L9" s="19"/>
      <c r="M9" s="19"/>
      <c r="N9" s="20"/>
      <c r="O9" s="8"/>
      <c r="P9" s="26"/>
      <c r="Q9" s="6"/>
    </row>
    <row r="10" spans="1:17" ht="17.25" customHeight="1">
      <c r="A10" s="14">
        <v>2</v>
      </c>
      <c r="B10" s="95" t="s">
        <v>32</v>
      </c>
      <c r="C10" s="83"/>
      <c r="D10" s="83"/>
      <c r="E10" s="83"/>
      <c r="F10" s="83"/>
      <c r="G10" s="83"/>
      <c r="H10" s="84"/>
      <c r="I10" s="87"/>
      <c r="J10" s="87"/>
      <c r="K10" s="87"/>
      <c r="L10" s="88"/>
      <c r="M10" s="88"/>
      <c r="N10" s="89"/>
      <c r="O10" s="62"/>
      <c r="P10" s="27"/>
      <c r="Q10" s="63"/>
    </row>
    <row r="11" spans="1:17" ht="17.25" customHeight="1">
      <c r="A11" s="14"/>
      <c r="B11" s="95" t="s">
        <v>37</v>
      </c>
      <c r="C11" s="83"/>
      <c r="D11" s="83"/>
      <c r="E11" s="83"/>
      <c r="F11" s="83"/>
      <c r="G11" s="83"/>
      <c r="H11" s="84"/>
      <c r="I11" s="87" t="s">
        <v>56</v>
      </c>
      <c r="J11" s="87">
        <v>2</v>
      </c>
      <c r="K11" s="87">
        <v>500</v>
      </c>
      <c r="L11" s="88">
        <v>5</v>
      </c>
      <c r="M11" s="88">
        <v>6</v>
      </c>
      <c r="N11" s="89">
        <v>1.22</v>
      </c>
      <c r="O11" s="64"/>
      <c r="P11" s="27"/>
      <c r="Q11" s="63"/>
    </row>
    <row r="12" spans="1:17" ht="17.25" customHeight="1">
      <c r="A12" s="14"/>
      <c r="B12" s="95" t="s">
        <v>40</v>
      </c>
      <c r="C12" s="83"/>
      <c r="D12" s="83"/>
      <c r="E12" s="83"/>
      <c r="F12" s="83"/>
      <c r="G12" s="83"/>
      <c r="H12" s="84"/>
      <c r="I12" s="21"/>
      <c r="J12" s="21"/>
      <c r="K12" s="21">
        <f>K11*$J11</f>
        <v>1000</v>
      </c>
      <c r="L12" s="21">
        <f t="shared" ref="L12" si="1">L11*$J11</f>
        <v>10</v>
      </c>
      <c r="M12" s="21">
        <f t="shared" ref="M12" si="2">M11*$J11</f>
        <v>12</v>
      </c>
      <c r="N12" s="23">
        <f t="shared" ref="N12" si="3">N11*$J11</f>
        <v>2.44</v>
      </c>
      <c r="O12" s="64">
        <f>K12+K13</f>
        <v>1000</v>
      </c>
      <c r="P12" s="27">
        <v>1.06</v>
      </c>
      <c r="Q12" s="63">
        <f>P12*O12</f>
        <v>1060</v>
      </c>
    </row>
    <row r="13" spans="1:17" ht="17.25" customHeight="1">
      <c r="A13" s="14"/>
      <c r="B13" s="95"/>
      <c r="C13" s="83"/>
      <c r="D13" s="83"/>
      <c r="E13" s="83"/>
      <c r="F13" s="83"/>
      <c r="G13" s="83"/>
      <c r="H13" s="84"/>
      <c r="I13" s="21"/>
      <c r="J13" s="21"/>
      <c r="K13" s="21"/>
      <c r="L13" s="22"/>
      <c r="M13" s="22"/>
      <c r="N13" s="23"/>
      <c r="O13" s="65"/>
      <c r="P13" s="27"/>
      <c r="Q13" s="63"/>
    </row>
    <row r="14" spans="1:17" ht="17.25" customHeight="1">
      <c r="A14" s="12">
        <v>3</v>
      </c>
      <c r="B14" s="94" t="s">
        <v>33</v>
      </c>
      <c r="C14" s="81"/>
      <c r="D14" s="81"/>
      <c r="E14" s="81"/>
      <c r="F14" s="81"/>
      <c r="G14" s="81"/>
      <c r="H14" s="82"/>
      <c r="I14" s="98"/>
      <c r="J14" s="98"/>
      <c r="K14" s="98"/>
      <c r="L14" s="99"/>
      <c r="M14" s="99"/>
      <c r="N14" s="100"/>
      <c r="O14" s="16"/>
      <c r="P14" s="25"/>
      <c r="Q14" s="6"/>
    </row>
    <row r="15" spans="1:17" ht="17.25" customHeight="1">
      <c r="A15" s="12"/>
      <c r="B15" s="80" t="s">
        <v>38</v>
      </c>
      <c r="C15" s="81"/>
      <c r="D15" s="81"/>
      <c r="E15" s="81"/>
      <c r="F15" s="81"/>
      <c r="G15" s="81"/>
      <c r="H15" s="82"/>
      <c r="I15" s="18" t="s">
        <v>57</v>
      </c>
      <c r="J15" s="18">
        <v>4</v>
      </c>
      <c r="K15" s="18">
        <v>500</v>
      </c>
      <c r="L15" s="19">
        <v>11</v>
      </c>
      <c r="M15" s="19">
        <v>12.75</v>
      </c>
      <c r="N15" s="20">
        <v>1.87</v>
      </c>
      <c r="O15" s="18"/>
      <c r="P15" s="25"/>
      <c r="Q15" s="6"/>
    </row>
    <row r="16" spans="1:17" ht="17.25" customHeight="1">
      <c r="A16" s="12"/>
      <c r="B16" s="94" t="s">
        <v>41</v>
      </c>
      <c r="C16" s="81"/>
      <c r="D16" s="81"/>
      <c r="E16" s="81"/>
      <c r="F16" s="81"/>
      <c r="G16" s="81"/>
      <c r="H16" s="82"/>
      <c r="I16" s="18"/>
      <c r="J16" s="18"/>
      <c r="K16" s="18">
        <f>K15*$J15</f>
        <v>2000</v>
      </c>
      <c r="L16" s="18">
        <f t="shared" ref="L16" si="4">L15*$J15</f>
        <v>44</v>
      </c>
      <c r="M16" s="18">
        <f t="shared" ref="M16" si="5">M15*$J15</f>
        <v>51</v>
      </c>
      <c r="N16" s="20">
        <f t="shared" ref="N16" si="6">N15*$J15</f>
        <v>7.48</v>
      </c>
      <c r="O16" s="7">
        <f>K16+K17</f>
        <v>2000</v>
      </c>
      <c r="P16" s="25">
        <v>2.48</v>
      </c>
      <c r="Q16" s="6">
        <f>P16*O16</f>
        <v>4960</v>
      </c>
    </row>
    <row r="17" spans="1:17" ht="17.25" customHeight="1">
      <c r="A17" s="12"/>
      <c r="B17" s="94"/>
      <c r="C17" s="81"/>
      <c r="D17" s="81"/>
      <c r="E17" s="81"/>
      <c r="F17" s="81"/>
      <c r="G17" s="81"/>
      <c r="H17" s="82"/>
      <c r="I17" s="18"/>
      <c r="J17" s="18"/>
      <c r="K17" s="18"/>
      <c r="L17" s="19"/>
      <c r="M17" s="19"/>
      <c r="N17" s="20"/>
      <c r="O17" s="24"/>
      <c r="P17" s="26"/>
      <c r="Q17" s="6"/>
    </row>
    <row r="18" spans="1:17" ht="17.25" customHeight="1">
      <c r="A18" s="14">
        <v>4</v>
      </c>
      <c r="B18" s="95" t="s">
        <v>32</v>
      </c>
      <c r="C18" s="83"/>
      <c r="D18" s="83"/>
      <c r="E18" s="83"/>
      <c r="F18" s="83"/>
      <c r="G18" s="83"/>
      <c r="H18" s="84"/>
      <c r="I18" s="101"/>
      <c r="J18" s="102"/>
      <c r="K18" s="101"/>
      <c r="L18" s="103"/>
      <c r="M18" s="103"/>
      <c r="N18" s="104"/>
      <c r="O18" s="65"/>
      <c r="P18" s="27"/>
      <c r="Q18" s="63"/>
    </row>
    <row r="19" spans="1:17" ht="17.25" customHeight="1">
      <c r="A19" s="14"/>
      <c r="B19" s="95" t="s">
        <v>37</v>
      </c>
      <c r="C19" s="83"/>
      <c r="D19" s="83"/>
      <c r="E19" s="83"/>
      <c r="F19" s="83"/>
      <c r="G19" s="83"/>
      <c r="H19" s="84"/>
      <c r="I19" s="21" t="s">
        <v>58</v>
      </c>
      <c r="J19" s="21">
        <v>6</v>
      </c>
      <c r="K19" s="21">
        <v>360</v>
      </c>
      <c r="L19" s="22">
        <v>12.4</v>
      </c>
      <c r="M19" s="22">
        <v>13.4</v>
      </c>
      <c r="N19" s="23">
        <v>1.2</v>
      </c>
      <c r="O19" s="21"/>
      <c r="P19" s="27"/>
      <c r="Q19" s="63"/>
    </row>
    <row r="20" spans="1:17" ht="17.25" customHeight="1">
      <c r="A20" s="14"/>
      <c r="B20" s="95" t="s">
        <v>42</v>
      </c>
      <c r="C20" s="83"/>
      <c r="D20" s="83"/>
      <c r="E20" s="83"/>
      <c r="F20" s="83"/>
      <c r="G20" s="83"/>
      <c r="H20" s="84"/>
      <c r="I20" s="21"/>
      <c r="J20" s="21"/>
      <c r="K20" s="21">
        <f>K19*$J19</f>
        <v>2160</v>
      </c>
      <c r="L20" s="21">
        <f t="shared" ref="L20" si="7">L19*$J19</f>
        <v>74.400000000000006</v>
      </c>
      <c r="M20" s="21">
        <f t="shared" ref="M20" si="8">M19*$J19</f>
        <v>80.400000000000006</v>
      </c>
      <c r="N20" s="23">
        <f t="shared" ref="N20" si="9">N19*$J19</f>
        <v>7.1999999999999993</v>
      </c>
      <c r="O20" s="64">
        <f>K20+K21</f>
        <v>2160</v>
      </c>
      <c r="P20" s="27">
        <v>3.37</v>
      </c>
      <c r="Q20" s="63">
        <f>P20*O20</f>
        <v>7279.2</v>
      </c>
    </row>
    <row r="21" spans="1:17" ht="17.25" customHeight="1">
      <c r="A21" s="14"/>
      <c r="B21" s="95"/>
      <c r="C21" s="83"/>
      <c r="D21" s="83"/>
      <c r="E21" s="83"/>
      <c r="F21" s="83"/>
      <c r="G21" s="83"/>
      <c r="H21" s="84"/>
      <c r="I21" s="21"/>
      <c r="J21" s="21"/>
      <c r="K21" s="21"/>
      <c r="L21" s="22"/>
      <c r="M21" s="22"/>
      <c r="N21" s="23"/>
      <c r="O21" s="21"/>
      <c r="P21" s="27"/>
      <c r="Q21" s="63"/>
    </row>
    <row r="22" spans="1:17" ht="17.25" customHeight="1">
      <c r="A22" s="12">
        <v>5</v>
      </c>
      <c r="B22" s="94" t="s">
        <v>35</v>
      </c>
      <c r="C22" s="81"/>
      <c r="D22" s="81"/>
      <c r="E22" s="81"/>
      <c r="F22" s="81"/>
      <c r="G22" s="81"/>
      <c r="H22" s="82"/>
      <c r="I22" s="18"/>
      <c r="J22" s="18"/>
      <c r="K22" s="18"/>
      <c r="L22" s="19"/>
      <c r="M22" s="19"/>
      <c r="N22" s="20"/>
      <c r="O22" s="16"/>
      <c r="P22" s="25"/>
      <c r="Q22" s="6"/>
    </row>
    <row r="23" spans="1:17" ht="17.25" customHeight="1">
      <c r="A23" s="12"/>
      <c r="B23" s="80" t="s">
        <v>38</v>
      </c>
      <c r="C23" s="81"/>
      <c r="D23" s="81"/>
      <c r="E23" s="81"/>
      <c r="F23" s="81"/>
      <c r="G23" s="81"/>
      <c r="H23" s="82"/>
      <c r="I23" s="17" t="s">
        <v>49</v>
      </c>
      <c r="J23" s="18">
        <v>16</v>
      </c>
      <c r="K23" s="18">
        <v>120</v>
      </c>
      <c r="L23" s="19">
        <v>10</v>
      </c>
      <c r="M23" s="19">
        <v>11</v>
      </c>
      <c r="N23" s="20">
        <v>1.2</v>
      </c>
      <c r="O23" s="18"/>
      <c r="P23" s="25"/>
      <c r="Q23" s="6"/>
    </row>
    <row r="24" spans="1:17" ht="17.25" customHeight="1">
      <c r="A24" s="12"/>
      <c r="B24" s="94" t="s">
        <v>43</v>
      </c>
      <c r="C24" s="81"/>
      <c r="D24" s="81"/>
      <c r="E24" s="81"/>
      <c r="F24" s="81"/>
      <c r="G24" s="81"/>
      <c r="H24" s="82"/>
      <c r="I24" s="18"/>
      <c r="J24" s="18"/>
      <c r="K24" s="18">
        <f>K23*$J23</f>
        <v>1920</v>
      </c>
      <c r="L24" s="18">
        <f t="shared" ref="L24" si="10">L23*$J23</f>
        <v>160</v>
      </c>
      <c r="M24" s="18">
        <f t="shared" ref="M24" si="11">M23*$J23</f>
        <v>176</v>
      </c>
      <c r="N24" s="20">
        <f t="shared" ref="N24" si="12">N23*$J23</f>
        <v>19.2</v>
      </c>
      <c r="O24" s="7">
        <f>K24+K25</f>
        <v>1960</v>
      </c>
      <c r="P24" s="25">
        <v>5.97</v>
      </c>
      <c r="Q24" s="6">
        <f>P24*O24</f>
        <v>11701.199999999999</v>
      </c>
    </row>
    <row r="25" spans="1:17" ht="17.25" customHeight="1">
      <c r="A25" s="12"/>
      <c r="B25" s="94"/>
      <c r="C25" s="81"/>
      <c r="D25" s="81"/>
      <c r="E25" s="81"/>
      <c r="F25" s="81"/>
      <c r="G25" s="81"/>
      <c r="H25" s="82"/>
      <c r="I25" s="18">
        <v>17</v>
      </c>
      <c r="J25" s="18">
        <v>1</v>
      </c>
      <c r="K25" s="18">
        <v>40</v>
      </c>
      <c r="L25" s="19">
        <v>2</v>
      </c>
      <c r="M25" s="19">
        <v>3</v>
      </c>
      <c r="N25" s="20">
        <v>0.5</v>
      </c>
      <c r="O25" s="18"/>
      <c r="P25" s="28"/>
      <c r="Q25" s="6"/>
    </row>
    <row r="26" spans="1:17" ht="17.25" customHeight="1">
      <c r="A26" s="14">
        <v>6</v>
      </c>
      <c r="B26" s="95" t="s">
        <v>34</v>
      </c>
      <c r="C26" s="83"/>
      <c r="D26" s="83"/>
      <c r="E26" s="83"/>
      <c r="F26" s="83"/>
      <c r="G26" s="83"/>
      <c r="H26" s="84"/>
      <c r="I26" s="101"/>
      <c r="J26" s="102"/>
      <c r="K26" s="101"/>
      <c r="L26" s="103"/>
      <c r="M26" s="103"/>
      <c r="N26" s="104"/>
      <c r="O26" s="65"/>
      <c r="P26" s="27"/>
      <c r="Q26" s="63"/>
    </row>
    <row r="27" spans="1:17" ht="17.25" customHeight="1">
      <c r="A27" s="14"/>
      <c r="B27" s="95" t="s">
        <v>37</v>
      </c>
      <c r="C27" s="83"/>
      <c r="D27" s="83"/>
      <c r="E27" s="83"/>
      <c r="F27" s="83"/>
      <c r="G27" s="83"/>
      <c r="H27" s="84"/>
      <c r="I27" s="21" t="s">
        <v>50</v>
      </c>
      <c r="J27" s="21">
        <v>32</v>
      </c>
      <c r="K27" s="21">
        <v>120</v>
      </c>
      <c r="L27" s="22">
        <v>10</v>
      </c>
      <c r="M27" s="22">
        <v>11</v>
      </c>
      <c r="N27" s="23">
        <v>1.2</v>
      </c>
      <c r="O27" s="21"/>
      <c r="P27" s="27"/>
      <c r="Q27" s="63"/>
    </row>
    <row r="28" spans="1:17" ht="17.25" customHeight="1">
      <c r="A28" s="14"/>
      <c r="B28" s="95" t="s">
        <v>36</v>
      </c>
      <c r="C28" s="83"/>
      <c r="D28" s="83"/>
      <c r="E28" s="83"/>
      <c r="F28" s="83"/>
      <c r="G28" s="83"/>
      <c r="H28" s="84"/>
      <c r="I28" s="21"/>
      <c r="J28" s="21"/>
      <c r="K28" s="21">
        <f>K27*$J27</f>
        <v>3840</v>
      </c>
      <c r="L28" s="21">
        <f t="shared" ref="L28" si="13">L27*$J27</f>
        <v>320</v>
      </c>
      <c r="M28" s="21">
        <f t="shared" ref="M28" si="14">M27*$J27</f>
        <v>352</v>
      </c>
      <c r="N28" s="23">
        <f t="shared" ref="N28" si="15">N27*$J27</f>
        <v>38.4</v>
      </c>
      <c r="O28" s="64">
        <f>K28+K29</f>
        <v>3840</v>
      </c>
      <c r="P28" s="27">
        <v>4.55</v>
      </c>
      <c r="Q28" s="63">
        <f>P28*O28</f>
        <v>17472</v>
      </c>
    </row>
    <row r="29" spans="1:17" ht="17.25" customHeight="1" thickBot="1">
      <c r="A29" s="68"/>
      <c r="B29" s="134"/>
      <c r="C29" s="134"/>
      <c r="D29" s="134"/>
      <c r="E29" s="134"/>
      <c r="F29" s="134"/>
      <c r="G29" s="134"/>
      <c r="H29" s="134"/>
      <c r="I29" s="90"/>
      <c r="J29" s="90"/>
      <c r="K29" s="90"/>
      <c r="L29" s="91"/>
      <c r="M29" s="91"/>
      <c r="N29" s="92"/>
      <c r="O29" s="70"/>
      <c r="P29" s="71"/>
      <c r="Q29" s="72"/>
    </row>
    <row r="30" spans="1:17" ht="17.25" customHeight="1" thickBot="1">
      <c r="A30" s="125" t="s">
        <v>17</v>
      </c>
      <c r="B30" s="128" t="s">
        <v>25</v>
      </c>
      <c r="C30" s="129"/>
      <c r="D30" s="125" t="s">
        <v>30</v>
      </c>
      <c r="E30" s="107" t="s">
        <v>29</v>
      </c>
      <c r="F30" s="108"/>
      <c r="G30" s="108"/>
      <c r="H30" s="109"/>
      <c r="I30" s="69" t="s">
        <v>19</v>
      </c>
      <c r="J30" s="2"/>
      <c r="K30" s="11"/>
      <c r="L30" s="2"/>
      <c r="M30" s="3"/>
      <c r="N30" s="51" t="s">
        <v>26</v>
      </c>
      <c r="O30" s="74" cm="1">
        <f t="array" ref="O30">SUM(IFERROR(J7:J27,0), IFERROR(J40:J54,0), IFERROR(#REF!,0))</f>
        <v>168</v>
      </c>
      <c r="P30" s="52"/>
      <c r="Q30" s="53">
        <f>SUM(Q6:Q29)</f>
        <v>50872.4</v>
      </c>
    </row>
    <row r="31" spans="1:17" ht="17.25" customHeight="1">
      <c r="A31" s="126"/>
      <c r="B31" s="130"/>
      <c r="C31" s="131"/>
      <c r="D31" s="126"/>
      <c r="E31" s="110"/>
      <c r="F31" s="111"/>
      <c r="G31" s="111"/>
      <c r="H31" s="112"/>
      <c r="I31" s="46"/>
      <c r="J31" s="93"/>
      <c r="L31" s="15"/>
      <c r="M31" s="4"/>
      <c r="N31" s="79" t="s">
        <v>27</v>
      </c>
      <c r="O31" s="75">
        <f xml:space="preserve"> SUM(N8:N9, N12:N13, N16:N17, N20:N21, N24:N25, N28:N29,N41:N42,N45:N46,N49:N50,N53:N54)</f>
        <v>334.20000000000005</v>
      </c>
      <c r="P31" s="54" t="s">
        <v>12</v>
      </c>
      <c r="Q31" s="44">
        <v>0</v>
      </c>
    </row>
    <row r="32" spans="1:17" ht="17.25" customHeight="1">
      <c r="A32" s="126"/>
      <c r="B32" s="130"/>
      <c r="C32" s="131"/>
      <c r="D32" s="126"/>
      <c r="E32" s="110"/>
      <c r="F32" s="111"/>
      <c r="G32" s="111"/>
      <c r="H32" s="112"/>
      <c r="I32" s="47"/>
      <c r="J32" s="9"/>
      <c r="M32" s="48"/>
      <c r="N32" s="79" t="s">
        <v>28</v>
      </c>
      <c r="O32" s="76" cm="1">
        <f t="array" ref="O32">SUM(_xlfn.TOCOL(_xlfn.VSTACK(
IFERROR(M8:M9,0),IFERROR(M12:M13,0),IFERROR(M16:M17,0),IFERROR(M20:M21,0),
IFERROR(M24:M25,0),IFERROR(M28:M29,0),IFERROR(M41:M42,0),IFERROR(M45:M46,0),
IFERROR(M49:M50,0),IFERROR(M53:M54,0),IFERROR(#REF!,0),IFERROR(#REF!,0),
IFERROR(#REF!,0),IFERROR(#REF!,0),IFERROR(#REF!,0),IFERROR(#REF!,0)
)))</f>
        <v>2124.2000000000003</v>
      </c>
      <c r="P32" s="54" t="s">
        <v>16</v>
      </c>
      <c r="Q32" s="44">
        <f>SUM(Q30,Q31)</f>
        <v>50872.4</v>
      </c>
    </row>
    <row r="33" spans="1:17" ht="17.25" customHeight="1" thickBot="1">
      <c r="A33" s="127"/>
      <c r="B33" s="132"/>
      <c r="C33" s="133"/>
      <c r="D33" s="127"/>
      <c r="E33" s="113"/>
      <c r="F33" s="114"/>
      <c r="G33" s="114"/>
      <c r="H33" s="115"/>
      <c r="I33" s="49"/>
      <c r="J33" s="10"/>
      <c r="K33" s="135"/>
      <c r="L33" s="135"/>
      <c r="M33" s="50"/>
      <c r="N33" s="78"/>
      <c r="O33" s="77"/>
      <c r="P33" s="55" t="s">
        <v>15</v>
      </c>
      <c r="Q33" s="45" cm="1">
        <f t="array" ref="Q33">SUM(IFERROR(Q31:Q32,0), IFERROR(Q65,0), IFERROR(#REF!,0))</f>
        <v>119462.39999999999</v>
      </c>
    </row>
    <row r="34" spans="1:17" ht="17.25" customHeight="1">
      <c r="A34" s="121" t="s">
        <v>23</v>
      </c>
      <c r="B34" s="122"/>
      <c r="C34" s="122"/>
      <c r="D34" s="122"/>
      <c r="E34" s="122"/>
      <c r="F34" s="122"/>
      <c r="G34" s="122"/>
      <c r="H34" s="38"/>
      <c r="I34" s="118" t="s">
        <v>18</v>
      </c>
      <c r="J34" s="118"/>
      <c r="K34" s="118"/>
      <c r="L34" s="117"/>
      <c r="M34" s="117"/>
      <c r="N34" s="117"/>
      <c r="O34" s="39"/>
      <c r="P34" s="39"/>
      <c r="Q34" s="40"/>
    </row>
    <row r="35" spans="1:17" ht="17.25" customHeight="1">
      <c r="A35" s="123"/>
      <c r="B35" s="124"/>
      <c r="C35" s="124"/>
      <c r="D35" s="124"/>
      <c r="E35" s="124"/>
      <c r="F35" s="124"/>
      <c r="G35" s="124"/>
      <c r="H35" s="29"/>
      <c r="I35" s="119"/>
      <c r="J35" s="119"/>
      <c r="K35" s="119"/>
      <c r="L35" s="116" t="s">
        <v>6</v>
      </c>
      <c r="M35" s="116"/>
      <c r="N35" s="116"/>
      <c r="O35" s="30"/>
      <c r="P35" s="31" t="s">
        <v>22</v>
      </c>
      <c r="Q35" s="41"/>
    </row>
    <row r="36" spans="1:17" ht="17.25" customHeight="1" thickBot="1">
      <c r="A36" s="42" t="s">
        <v>24</v>
      </c>
      <c r="B36" s="32"/>
      <c r="C36" s="32"/>
      <c r="D36" s="32"/>
      <c r="E36" s="32"/>
      <c r="F36" s="32"/>
      <c r="G36" s="32"/>
      <c r="H36" s="30"/>
      <c r="I36" s="119"/>
      <c r="J36" s="119"/>
      <c r="K36" s="119"/>
      <c r="L36" s="116" t="s">
        <v>7</v>
      </c>
      <c r="M36" s="116"/>
      <c r="N36" s="116"/>
      <c r="O36" s="30"/>
      <c r="P36" s="31" t="s">
        <v>21</v>
      </c>
      <c r="Q36" s="73">
        <v>46091</v>
      </c>
    </row>
    <row r="37" spans="1:17" ht="17.25" customHeight="1" thickBot="1">
      <c r="A37" s="1"/>
      <c r="B37" s="33"/>
      <c r="C37" s="34" t="s">
        <v>20</v>
      </c>
      <c r="D37" s="120" t="s">
        <v>14</v>
      </c>
      <c r="E37" s="120"/>
      <c r="F37" s="30"/>
      <c r="G37" s="30"/>
      <c r="H37" s="30"/>
      <c r="I37" s="30"/>
      <c r="J37" s="35"/>
      <c r="K37" s="30"/>
      <c r="L37" s="30"/>
      <c r="M37" s="36" t="s">
        <v>0</v>
      </c>
      <c r="N37" s="37" t="s">
        <v>1</v>
      </c>
      <c r="O37" s="30"/>
      <c r="P37" s="35"/>
      <c r="Q37" s="43"/>
    </row>
    <row r="38" spans="1:17" ht="17.25" customHeight="1" thickBot="1">
      <c r="A38" s="105" t="s">
        <v>31</v>
      </c>
      <c r="B38" s="106"/>
      <c r="C38" s="106"/>
      <c r="D38" s="106"/>
      <c r="E38" s="106"/>
      <c r="F38" s="106"/>
      <c r="G38" s="106"/>
      <c r="H38" s="106"/>
      <c r="I38" s="66" t="s">
        <v>2</v>
      </c>
      <c r="J38" s="66" t="s">
        <v>13</v>
      </c>
      <c r="K38" s="66" t="s">
        <v>3</v>
      </c>
      <c r="L38" s="67" t="s">
        <v>8</v>
      </c>
      <c r="M38" s="67" t="s">
        <v>4</v>
      </c>
      <c r="N38" s="66" t="s">
        <v>5</v>
      </c>
      <c r="O38" s="66" t="s">
        <v>9</v>
      </c>
      <c r="P38" s="66" t="s">
        <v>10</v>
      </c>
      <c r="Q38" s="66" t="s">
        <v>11</v>
      </c>
    </row>
    <row r="39" spans="1:17" ht="17.25" customHeight="1">
      <c r="A39" s="56">
        <v>7</v>
      </c>
      <c r="B39" s="94" t="s">
        <v>48</v>
      </c>
      <c r="C39" s="96"/>
      <c r="D39" s="96"/>
      <c r="E39" s="96"/>
      <c r="F39" s="96"/>
      <c r="G39" s="96"/>
      <c r="H39" s="97"/>
      <c r="I39" s="57"/>
      <c r="J39" s="57"/>
      <c r="K39" s="57"/>
      <c r="L39" s="58"/>
      <c r="M39" s="58"/>
      <c r="N39" s="59"/>
      <c r="O39" s="57"/>
      <c r="P39" s="60"/>
      <c r="Q39" s="61"/>
    </row>
    <row r="40" spans="1:17" ht="17.25" customHeight="1">
      <c r="A40" s="13"/>
      <c r="B40" s="80" t="s">
        <v>38</v>
      </c>
      <c r="C40" s="85"/>
      <c r="D40" s="85"/>
      <c r="E40" s="85"/>
      <c r="F40" s="85"/>
      <c r="G40" s="85"/>
      <c r="H40" s="86"/>
      <c r="I40" s="17" t="s">
        <v>55</v>
      </c>
      <c r="J40" s="18">
        <v>60</v>
      </c>
      <c r="K40" s="18">
        <v>50</v>
      </c>
      <c r="L40" s="19">
        <v>9</v>
      </c>
      <c r="M40" s="19">
        <v>11</v>
      </c>
      <c r="N40" s="20">
        <v>1.59</v>
      </c>
      <c r="O40" s="7"/>
      <c r="P40" s="5"/>
      <c r="Q40" s="6"/>
    </row>
    <row r="41" spans="1:17" ht="17.25" customHeight="1">
      <c r="A41" s="12"/>
      <c r="B41" s="94" t="s">
        <v>44</v>
      </c>
      <c r="C41" s="81"/>
      <c r="D41" s="81"/>
      <c r="E41" s="81"/>
      <c r="F41" s="81"/>
      <c r="G41" s="81"/>
      <c r="H41" s="82"/>
      <c r="I41" s="17"/>
      <c r="J41" s="18"/>
      <c r="K41" s="18">
        <f>K40*$J40</f>
        <v>3000</v>
      </c>
      <c r="L41" s="18">
        <f t="shared" ref="L41:N41" si="16">L40*$J40</f>
        <v>540</v>
      </c>
      <c r="M41" s="18">
        <f t="shared" si="16"/>
        <v>660</v>
      </c>
      <c r="N41" s="20">
        <f t="shared" si="16"/>
        <v>95.4</v>
      </c>
      <c r="O41" s="7">
        <f>K41+K42</f>
        <v>3000</v>
      </c>
      <c r="P41" s="25">
        <v>13.23</v>
      </c>
      <c r="Q41" s="6">
        <f>P41*O41</f>
        <v>39690</v>
      </c>
    </row>
    <row r="42" spans="1:17" ht="17.25" customHeight="1">
      <c r="A42" s="12"/>
      <c r="B42" s="94"/>
      <c r="C42" s="81"/>
      <c r="D42" s="81"/>
      <c r="E42" s="81"/>
      <c r="F42" s="81"/>
      <c r="G42" s="81"/>
      <c r="H42" s="82"/>
      <c r="I42" s="18"/>
      <c r="J42" s="18"/>
      <c r="K42" s="18"/>
      <c r="L42" s="19"/>
      <c r="M42" s="19"/>
      <c r="N42" s="20"/>
      <c r="O42" s="8"/>
      <c r="P42" s="26"/>
      <c r="Q42" s="6"/>
    </row>
    <row r="43" spans="1:17" ht="17.25" customHeight="1">
      <c r="A43" s="14">
        <v>8</v>
      </c>
      <c r="B43" s="95" t="s">
        <v>35</v>
      </c>
      <c r="C43" s="83"/>
      <c r="D43" s="83"/>
      <c r="E43" s="83"/>
      <c r="F43" s="83"/>
      <c r="G43" s="83"/>
      <c r="H43" s="84"/>
      <c r="I43" s="87"/>
      <c r="J43" s="87"/>
      <c r="K43" s="87"/>
      <c r="L43" s="88"/>
      <c r="M43" s="88"/>
      <c r="N43" s="89"/>
      <c r="O43" s="62"/>
      <c r="P43" s="27"/>
      <c r="Q43" s="63"/>
    </row>
    <row r="44" spans="1:17" ht="17.25" customHeight="1">
      <c r="A44" s="14"/>
      <c r="B44" s="95" t="s">
        <v>37</v>
      </c>
      <c r="C44" s="83"/>
      <c r="D44" s="83"/>
      <c r="E44" s="83"/>
      <c r="F44" s="83"/>
      <c r="G44" s="83"/>
      <c r="H44" s="84"/>
      <c r="I44" s="87" t="s">
        <v>52</v>
      </c>
      <c r="J44" s="87">
        <v>16</v>
      </c>
      <c r="K44" s="87">
        <v>125</v>
      </c>
      <c r="L44" s="88">
        <v>16</v>
      </c>
      <c r="M44" s="88">
        <v>17.7</v>
      </c>
      <c r="N44" s="89">
        <v>4.75</v>
      </c>
      <c r="O44" s="64"/>
      <c r="P44" s="27"/>
      <c r="Q44" s="63"/>
    </row>
    <row r="45" spans="1:17" ht="17.25" customHeight="1">
      <c r="A45" s="14"/>
      <c r="B45" s="95" t="s">
        <v>45</v>
      </c>
      <c r="C45" s="83"/>
      <c r="D45" s="83"/>
      <c r="E45" s="83"/>
      <c r="F45" s="83"/>
      <c r="G45" s="83"/>
      <c r="H45" s="84"/>
      <c r="I45" s="21"/>
      <c r="J45" s="21"/>
      <c r="K45" s="21">
        <f>K44*$J44</f>
        <v>2000</v>
      </c>
      <c r="L45" s="21">
        <f t="shared" ref="L45:N45" si="17">L44*$J44</f>
        <v>256</v>
      </c>
      <c r="M45" s="21">
        <f t="shared" si="17"/>
        <v>283.2</v>
      </c>
      <c r="N45" s="23">
        <f t="shared" si="17"/>
        <v>76</v>
      </c>
      <c r="O45" s="64">
        <f>K45+K46</f>
        <v>2000</v>
      </c>
      <c r="P45" s="27">
        <v>4.9800000000000004</v>
      </c>
      <c r="Q45" s="63">
        <f>P45*O45</f>
        <v>9960</v>
      </c>
    </row>
    <row r="46" spans="1:17" ht="17.25" customHeight="1">
      <c r="A46" s="14"/>
      <c r="B46" s="95"/>
      <c r="C46" s="83"/>
      <c r="D46" s="83"/>
      <c r="E46" s="83"/>
      <c r="F46" s="83"/>
      <c r="G46" s="83"/>
      <c r="H46" s="84"/>
      <c r="I46" s="21"/>
      <c r="J46" s="21"/>
      <c r="K46" s="21"/>
      <c r="L46" s="22"/>
      <c r="M46" s="22"/>
      <c r="N46" s="23"/>
      <c r="O46" s="65"/>
      <c r="P46" s="27"/>
      <c r="Q46" s="63"/>
    </row>
    <row r="47" spans="1:17" ht="17.25" customHeight="1">
      <c r="A47" s="12">
        <v>9</v>
      </c>
      <c r="B47" s="94" t="s">
        <v>34</v>
      </c>
      <c r="C47" s="81"/>
      <c r="D47" s="81"/>
      <c r="E47" s="81"/>
      <c r="F47" s="81"/>
      <c r="G47" s="81"/>
      <c r="H47" s="82"/>
      <c r="I47" s="98"/>
      <c r="J47" s="98"/>
      <c r="K47" s="98"/>
      <c r="L47" s="99"/>
      <c r="M47" s="99"/>
      <c r="N47" s="100"/>
      <c r="O47" s="16"/>
      <c r="P47" s="25"/>
      <c r="Q47" s="6"/>
    </row>
    <row r="48" spans="1:17" ht="17.25" customHeight="1">
      <c r="A48" s="12"/>
      <c r="B48" s="80" t="s">
        <v>38</v>
      </c>
      <c r="C48" s="81"/>
      <c r="D48" s="81"/>
      <c r="E48" s="81"/>
      <c r="F48" s="81"/>
      <c r="G48" s="81"/>
      <c r="H48" s="82"/>
      <c r="I48" s="18" t="s">
        <v>53</v>
      </c>
      <c r="J48" s="18">
        <v>8</v>
      </c>
      <c r="K48" s="18">
        <v>125</v>
      </c>
      <c r="L48" s="19">
        <v>17</v>
      </c>
      <c r="M48" s="19">
        <v>18</v>
      </c>
      <c r="N48" s="20">
        <v>4.7300000000000004</v>
      </c>
      <c r="O48" s="18"/>
      <c r="P48" s="25"/>
      <c r="Q48" s="6"/>
    </row>
    <row r="49" spans="1:17" ht="17.25" customHeight="1">
      <c r="A49" s="12"/>
      <c r="B49" s="94" t="s">
        <v>46</v>
      </c>
      <c r="C49" s="81"/>
      <c r="D49" s="81"/>
      <c r="E49" s="81"/>
      <c r="F49" s="81"/>
      <c r="G49" s="81"/>
      <c r="H49" s="82"/>
      <c r="I49" s="18"/>
      <c r="J49" s="18"/>
      <c r="K49" s="18">
        <f>K48*$J48</f>
        <v>1000</v>
      </c>
      <c r="L49" s="18">
        <f t="shared" ref="L49:N49" si="18">L48*$J48</f>
        <v>136</v>
      </c>
      <c r="M49" s="18">
        <f t="shared" si="18"/>
        <v>144</v>
      </c>
      <c r="N49" s="20">
        <f t="shared" si="18"/>
        <v>37.840000000000003</v>
      </c>
      <c r="O49" s="7">
        <f>K49+K50</f>
        <v>1000</v>
      </c>
      <c r="P49" s="25">
        <v>6.7</v>
      </c>
      <c r="Q49" s="6">
        <f>P49*O49</f>
        <v>6700</v>
      </c>
    </row>
    <row r="50" spans="1:17" ht="17.25" customHeight="1">
      <c r="A50" s="12"/>
      <c r="B50" s="94"/>
      <c r="C50" s="81"/>
      <c r="D50" s="81"/>
      <c r="E50" s="81"/>
      <c r="F50" s="81"/>
      <c r="G50" s="81"/>
      <c r="H50" s="82"/>
      <c r="I50" s="18"/>
      <c r="J50" s="18"/>
      <c r="K50" s="18"/>
      <c r="L50" s="19"/>
      <c r="M50" s="19"/>
      <c r="N50" s="20"/>
      <c r="O50" s="24"/>
      <c r="P50" s="26"/>
      <c r="Q50" s="6"/>
    </row>
    <row r="51" spans="1:17" ht="17.25" customHeight="1">
      <c r="A51" s="14">
        <v>10</v>
      </c>
      <c r="B51" s="95" t="s">
        <v>34</v>
      </c>
      <c r="C51" s="83"/>
      <c r="D51" s="83"/>
      <c r="E51" s="83"/>
      <c r="F51" s="83"/>
      <c r="G51" s="83"/>
      <c r="H51" s="84"/>
      <c r="I51" s="101"/>
      <c r="J51" s="102"/>
      <c r="K51" s="101"/>
      <c r="L51" s="103"/>
      <c r="M51" s="103"/>
      <c r="N51" s="104"/>
      <c r="O51" s="65"/>
      <c r="P51" s="27"/>
      <c r="Q51" s="63"/>
    </row>
    <row r="52" spans="1:17" ht="17.25" customHeight="1">
      <c r="A52" s="14"/>
      <c r="B52" s="95" t="s">
        <v>37</v>
      </c>
      <c r="C52" s="83"/>
      <c r="D52" s="83"/>
      <c r="E52" s="83"/>
      <c r="F52" s="83"/>
      <c r="G52" s="83"/>
      <c r="H52" s="84"/>
      <c r="I52" s="21" t="s">
        <v>54</v>
      </c>
      <c r="J52" s="21">
        <v>18</v>
      </c>
      <c r="K52" s="21">
        <v>100</v>
      </c>
      <c r="L52" s="22">
        <v>16</v>
      </c>
      <c r="M52" s="22">
        <v>18.2</v>
      </c>
      <c r="N52" s="23">
        <v>2.4300000000000002</v>
      </c>
      <c r="O52" s="21"/>
      <c r="P52" s="27"/>
      <c r="Q52" s="63"/>
    </row>
    <row r="53" spans="1:17" ht="17.25" customHeight="1">
      <c r="A53" s="14"/>
      <c r="B53" s="95" t="s">
        <v>47</v>
      </c>
      <c r="C53" s="83"/>
      <c r="D53" s="83"/>
      <c r="E53" s="83"/>
      <c r="F53" s="83"/>
      <c r="G53" s="83"/>
      <c r="H53" s="84"/>
      <c r="I53" s="21"/>
      <c r="J53" s="21"/>
      <c r="K53" s="21">
        <f>K52*$J52</f>
        <v>1800</v>
      </c>
      <c r="L53" s="21">
        <f t="shared" ref="L53:N53" si="19">L52*$J52</f>
        <v>288</v>
      </c>
      <c r="M53" s="21">
        <f t="shared" si="19"/>
        <v>327.59999999999997</v>
      </c>
      <c r="N53" s="23">
        <f t="shared" si="19"/>
        <v>43.74</v>
      </c>
      <c r="O53" s="64">
        <f>K53+K54</f>
        <v>1800</v>
      </c>
      <c r="P53" s="27">
        <v>6.8</v>
      </c>
      <c r="Q53" s="63">
        <f>P53*O53</f>
        <v>12240</v>
      </c>
    </row>
    <row r="54" spans="1:17" ht="17.25" customHeight="1">
      <c r="A54" s="14"/>
      <c r="B54" s="95"/>
      <c r="C54" s="83"/>
      <c r="D54" s="83"/>
      <c r="E54" s="83"/>
      <c r="F54" s="83"/>
      <c r="G54" s="83"/>
      <c r="H54" s="84"/>
      <c r="I54" s="21"/>
      <c r="J54" s="21"/>
      <c r="K54" s="21"/>
      <c r="L54" s="22"/>
      <c r="M54" s="22"/>
      <c r="N54" s="23"/>
      <c r="O54" s="21"/>
      <c r="P54" s="27"/>
      <c r="Q54" s="63"/>
    </row>
    <row r="55" spans="1:17" ht="17.25" customHeight="1">
      <c r="A55" s="12"/>
      <c r="B55" s="94"/>
      <c r="C55" s="81"/>
      <c r="D55" s="81"/>
      <c r="E55" s="81"/>
      <c r="F55" s="81"/>
      <c r="G55" s="81"/>
      <c r="H55" s="82"/>
      <c r="I55" s="18"/>
      <c r="J55" s="18"/>
      <c r="K55" s="18"/>
      <c r="L55" s="19"/>
      <c r="M55" s="19"/>
      <c r="N55" s="20"/>
      <c r="O55" s="16"/>
      <c r="P55" s="25"/>
      <c r="Q55" s="6"/>
    </row>
    <row r="56" spans="1:17" ht="17.25" customHeight="1">
      <c r="A56" s="12"/>
      <c r="B56" s="80"/>
      <c r="C56" s="81"/>
      <c r="D56" s="81"/>
      <c r="E56" s="81"/>
      <c r="F56" s="81"/>
      <c r="G56" s="81"/>
      <c r="H56" s="82"/>
      <c r="I56" s="18"/>
      <c r="J56" s="18"/>
      <c r="K56" s="18"/>
      <c r="L56" s="19"/>
      <c r="M56" s="19"/>
      <c r="N56" s="20"/>
      <c r="O56" s="18"/>
      <c r="P56" s="25"/>
      <c r="Q56" s="6"/>
    </row>
    <row r="57" spans="1:17" ht="17.25" customHeight="1">
      <c r="A57" s="12"/>
      <c r="B57" s="94"/>
      <c r="C57" s="81"/>
      <c r="D57" s="81"/>
      <c r="E57" s="81"/>
      <c r="F57" s="81"/>
      <c r="G57" s="81"/>
      <c r="H57" s="82"/>
      <c r="I57" s="18"/>
      <c r="J57" s="18"/>
      <c r="K57" s="18"/>
      <c r="L57" s="18"/>
      <c r="M57" s="18"/>
      <c r="N57" s="20"/>
      <c r="O57" s="7"/>
      <c r="P57" s="25">
        <v>0</v>
      </c>
      <c r="Q57" s="6">
        <f>P57*O57</f>
        <v>0</v>
      </c>
    </row>
    <row r="58" spans="1:17" ht="17.25" customHeight="1">
      <c r="A58" s="12"/>
      <c r="B58" s="94"/>
      <c r="C58" s="81"/>
      <c r="D58" s="81"/>
      <c r="E58" s="81"/>
      <c r="F58" s="81"/>
      <c r="G58" s="81"/>
      <c r="H58" s="82"/>
      <c r="I58" s="18"/>
      <c r="J58" s="18"/>
      <c r="K58" s="18"/>
      <c r="L58" s="19"/>
      <c r="M58" s="19"/>
      <c r="N58" s="20"/>
      <c r="O58" s="18"/>
      <c r="P58" s="28"/>
      <c r="Q58" s="6"/>
    </row>
    <row r="59" spans="1:17">
      <c r="A59" s="14"/>
      <c r="B59" s="95"/>
      <c r="C59" s="83"/>
      <c r="D59" s="83"/>
      <c r="E59" s="83"/>
      <c r="F59" s="83"/>
      <c r="G59" s="83"/>
      <c r="H59" s="84"/>
      <c r="I59" s="101"/>
      <c r="J59" s="102"/>
      <c r="K59" s="101"/>
      <c r="L59" s="103"/>
      <c r="M59" s="103"/>
      <c r="N59" s="104"/>
      <c r="O59" s="65"/>
      <c r="P59" s="27"/>
      <c r="Q59" s="63"/>
    </row>
    <row r="60" spans="1:17">
      <c r="A60" s="14"/>
      <c r="B60" s="95"/>
      <c r="C60" s="83"/>
      <c r="D60" s="83"/>
      <c r="E60" s="83"/>
      <c r="F60" s="83"/>
      <c r="G60" s="83"/>
      <c r="H60" s="84"/>
      <c r="I60" s="21"/>
      <c r="J60" s="21"/>
      <c r="K60" s="21"/>
      <c r="L60" s="22"/>
      <c r="M60" s="22"/>
      <c r="N60" s="23"/>
      <c r="O60" s="21"/>
      <c r="P60" s="27"/>
      <c r="Q60" s="63"/>
    </row>
    <row r="61" spans="1:17">
      <c r="A61" s="14"/>
      <c r="B61" s="95"/>
      <c r="C61" s="83"/>
      <c r="D61" s="83"/>
      <c r="E61" s="83"/>
      <c r="F61" s="83"/>
      <c r="G61" s="83"/>
      <c r="H61" s="84"/>
      <c r="I61" s="21"/>
      <c r="J61" s="21"/>
      <c r="K61" s="21"/>
      <c r="L61" s="21"/>
      <c r="M61" s="21"/>
      <c r="N61" s="23"/>
      <c r="O61" s="64"/>
      <c r="P61" s="27">
        <v>0</v>
      </c>
      <c r="Q61" s="63">
        <f>P61*O61</f>
        <v>0</v>
      </c>
    </row>
    <row r="62" spans="1:17" ht="16.5" thickBot="1">
      <c r="A62" s="68"/>
      <c r="B62" s="134"/>
      <c r="C62" s="134"/>
      <c r="D62" s="134"/>
      <c r="E62" s="134"/>
      <c r="F62" s="134"/>
      <c r="G62" s="134"/>
      <c r="H62" s="134"/>
      <c r="I62" s="90"/>
      <c r="J62" s="90"/>
      <c r="K62" s="90"/>
      <c r="L62" s="91"/>
      <c r="M62" s="91"/>
      <c r="N62" s="92"/>
      <c r="O62" s="70"/>
      <c r="P62" s="71"/>
      <c r="Q62" s="72"/>
    </row>
    <row r="63" spans="1:17" ht="17.25" thickBot="1">
      <c r="A63" s="125" t="s">
        <v>17</v>
      </c>
      <c r="B63" s="128" t="s">
        <v>25</v>
      </c>
      <c r="C63" s="129"/>
      <c r="D63" s="125" t="s">
        <v>30</v>
      </c>
      <c r="E63" s="107" t="s">
        <v>29</v>
      </c>
      <c r="F63" s="108"/>
      <c r="G63" s="108"/>
      <c r="H63" s="109"/>
      <c r="I63" s="69" t="s">
        <v>19</v>
      </c>
      <c r="J63" s="2"/>
      <c r="K63" s="11"/>
      <c r="L63" s="2"/>
      <c r="M63" s="3"/>
      <c r="N63" s="51" t="s">
        <v>26</v>
      </c>
      <c r="O63" s="74">
        <v>168</v>
      </c>
      <c r="P63" s="52"/>
      <c r="Q63" s="53">
        <f>SUM(Q39:Q62)</f>
        <v>68590</v>
      </c>
    </row>
    <row r="64" spans="1:17" ht="16.5">
      <c r="A64" s="126"/>
      <c r="B64" s="130"/>
      <c r="C64" s="131"/>
      <c r="D64" s="126"/>
      <c r="E64" s="110"/>
      <c r="F64" s="111"/>
      <c r="G64" s="111"/>
      <c r="H64" s="112"/>
      <c r="I64" s="46"/>
      <c r="J64" s="93"/>
      <c r="L64" s="15"/>
      <c r="M64" s="4"/>
      <c r="N64" s="79" t="s">
        <v>27</v>
      </c>
      <c r="O64" s="75">
        <v>333.70000000000005</v>
      </c>
      <c r="P64" s="54" t="s">
        <v>12</v>
      </c>
      <c r="Q64" s="44">
        <v>0</v>
      </c>
    </row>
    <row r="65" spans="1:17" ht="20.25">
      <c r="A65" s="126"/>
      <c r="B65" s="130"/>
      <c r="C65" s="131"/>
      <c r="D65" s="126"/>
      <c r="E65" s="110"/>
      <c r="F65" s="111"/>
      <c r="G65" s="111"/>
      <c r="H65" s="112"/>
      <c r="I65" s="47"/>
      <c r="J65" s="9"/>
      <c r="M65" s="48"/>
      <c r="N65" s="79" t="s">
        <v>28</v>
      </c>
      <c r="O65" s="76">
        <v>2126.2000000000003</v>
      </c>
      <c r="P65" s="54" t="s">
        <v>16</v>
      </c>
      <c r="Q65" s="44">
        <f>SUM(Q63,Q64)</f>
        <v>68590</v>
      </c>
    </row>
    <row r="66" spans="1:17" ht="17.25" thickBot="1">
      <c r="A66" s="127"/>
      <c r="B66" s="132"/>
      <c r="C66" s="133"/>
      <c r="D66" s="127"/>
      <c r="E66" s="113"/>
      <c r="F66" s="114"/>
      <c r="G66" s="114"/>
      <c r="H66" s="115"/>
      <c r="I66" s="49"/>
      <c r="J66" s="10"/>
      <c r="K66" s="135"/>
      <c r="L66" s="135"/>
      <c r="M66" s="50"/>
      <c r="N66" s="78"/>
      <c r="O66" s="77"/>
      <c r="P66" s="55" t="s">
        <v>15</v>
      </c>
      <c r="Q66" s="45" cm="1">
        <f t="array" ref="Q66">SUM(IFERROR(Q64:Q65,0), IFERROR(Q32,0), IFERROR(#REF!,0))</f>
        <v>119462.39999999999</v>
      </c>
    </row>
  </sheetData>
  <mergeCells count="26">
    <mergeCell ref="K66:L66"/>
    <mergeCell ref="D37:E37"/>
    <mergeCell ref="A38:H38"/>
    <mergeCell ref="B62:H62"/>
    <mergeCell ref="A63:A66"/>
    <mergeCell ref="B63:C66"/>
    <mergeCell ref="D63:D66"/>
    <mergeCell ref="E63:H66"/>
    <mergeCell ref="A34:G35"/>
    <mergeCell ref="I34:K36"/>
    <mergeCell ref="L34:N34"/>
    <mergeCell ref="L35:N35"/>
    <mergeCell ref="L36:N36"/>
    <mergeCell ref="A5:H5"/>
    <mergeCell ref="E30:H33"/>
    <mergeCell ref="L3:N3"/>
    <mergeCell ref="L1:N1"/>
    <mergeCell ref="L2:N2"/>
    <mergeCell ref="I1:K3"/>
    <mergeCell ref="D4:E4"/>
    <mergeCell ref="A1:G2"/>
    <mergeCell ref="D30:D33"/>
    <mergeCell ref="B30:C33"/>
    <mergeCell ref="B29:H29"/>
    <mergeCell ref="K33:L33"/>
    <mergeCell ref="A30:A33"/>
  </mergeCells>
  <phoneticPr fontId="4" type="noConversion"/>
  <printOptions horizontalCentered="1" verticalCentered="1"/>
  <pageMargins left="0" right="0" top="0.39370078740157483" bottom="0.31496062992125984" header="0" footer="0"/>
  <pageSetup paperSize="9" scale="98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0106空運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出貨單</dc:title>
  <dc:creator>FRANK</dc:creator>
  <cp:lastModifiedBy>Andy Lee</cp:lastModifiedBy>
  <cp:lastPrinted>2026-03-02T08:06:28Z</cp:lastPrinted>
  <dcterms:created xsi:type="dcterms:W3CDTF">1998-01-21T02:18:40Z</dcterms:created>
  <dcterms:modified xsi:type="dcterms:W3CDTF">2026-03-02T08:13:21Z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2025-08-01T02:04:24Z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813db44b-4fc7-4365-b154-d2696095fc94</vt:lpwstr>
  </property>
  <property fmtid="{D5CDD505-2E9C-101B-9397-08002B2CF9AE}" pid="7" name="MSIP_Label_defa4170-0d19-0005-0004-bc88714345d2_ActionId">
    <vt:lpwstr>813e8ca7-582e-4ec4-aaad-3c8f58849243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