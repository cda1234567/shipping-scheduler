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ude\shipping-scheduler\templates\"/>
    </mc:Choice>
  </mc:AlternateContent>
  <xr:revisionPtr revIDLastSave="0" documentId="13_ncr:1_{253DDC13-0ECA-4877-A3A2-6755A0154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辰尚庫存表20260610" sheetId="1" r:id="rId1"/>
  </sheets>
  <definedNames>
    <definedName name="_xlnm._FilterDatabase" localSheetId="0" hidden="1">辰尚庫存表20260610!$A$1:$H$667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5" i="1" l="1"/>
  <c r="D651" i="1"/>
  <c r="D645" i="1"/>
  <c r="D641" i="1"/>
  <c r="D640" i="1"/>
  <c r="D639" i="1"/>
  <c r="D638" i="1"/>
  <c r="D636" i="1"/>
  <c r="D634" i="1"/>
  <c r="D631" i="1"/>
  <c r="D630" i="1"/>
  <c r="D629" i="1"/>
  <c r="D628" i="1"/>
  <c r="D627" i="1"/>
  <c r="D623" i="1"/>
  <c r="D606" i="1"/>
  <c r="D596" i="1"/>
  <c r="D592" i="1"/>
  <c r="D590" i="1"/>
  <c r="D589" i="1"/>
  <c r="D583" i="1"/>
  <c r="D581" i="1"/>
  <c r="D580" i="1"/>
  <c r="D576" i="1"/>
  <c r="D574" i="1"/>
  <c r="D573" i="1"/>
  <c r="D571" i="1"/>
  <c r="D569" i="1"/>
  <c r="D566" i="1"/>
  <c r="D559" i="1"/>
  <c r="D551" i="1"/>
  <c r="D548" i="1"/>
  <c r="D544" i="1"/>
  <c r="D543" i="1"/>
  <c r="D541" i="1"/>
  <c r="D540" i="1"/>
  <c r="D539" i="1"/>
  <c r="D536" i="1"/>
  <c r="D535" i="1"/>
  <c r="D533" i="1"/>
  <c r="D532" i="1"/>
  <c r="D527" i="1"/>
  <c r="D526" i="1"/>
  <c r="D513" i="1"/>
  <c r="D511" i="1"/>
  <c r="D509" i="1"/>
  <c r="D508" i="1"/>
  <c r="D506" i="1"/>
  <c r="D505" i="1"/>
  <c r="D501" i="1"/>
  <c r="D499" i="1"/>
  <c r="D496" i="1"/>
  <c r="D493" i="1"/>
  <c r="D492" i="1"/>
  <c r="D490" i="1"/>
  <c r="D489" i="1"/>
  <c r="D485" i="1"/>
  <c r="D484" i="1"/>
  <c r="D483" i="1"/>
  <c r="D476" i="1"/>
  <c r="D437" i="1"/>
  <c r="D433" i="1"/>
  <c r="D429" i="1"/>
  <c r="D428" i="1"/>
  <c r="D423" i="1"/>
  <c r="D418" i="1"/>
  <c r="D413" i="1"/>
  <c r="D412" i="1"/>
  <c r="D411" i="1"/>
  <c r="D409" i="1"/>
  <c r="D406" i="1"/>
  <c r="D405" i="1"/>
  <c r="D400" i="1"/>
  <c r="D394" i="1"/>
  <c r="D390" i="1"/>
  <c r="D389" i="1"/>
  <c r="D386" i="1"/>
  <c r="D385" i="1"/>
  <c r="D383" i="1"/>
  <c r="D382" i="1"/>
  <c r="D381" i="1"/>
  <c r="D380" i="1"/>
  <c r="D378" i="1"/>
  <c r="D376" i="1"/>
  <c r="D374" i="1"/>
  <c r="D373" i="1"/>
  <c r="D372" i="1"/>
  <c r="D371" i="1"/>
  <c r="D368" i="1"/>
  <c r="D367" i="1"/>
  <c r="D365" i="1"/>
  <c r="D363" i="1"/>
  <c r="D361" i="1"/>
  <c r="D359" i="1"/>
  <c r="D357" i="1"/>
  <c r="D356" i="1"/>
  <c r="D350" i="1"/>
  <c r="D349" i="1"/>
  <c r="D347" i="1"/>
  <c r="D340" i="1"/>
  <c r="D339" i="1"/>
  <c r="D336" i="1"/>
  <c r="D335" i="1"/>
  <c r="D330" i="1"/>
  <c r="D328" i="1"/>
  <c r="D326" i="1"/>
  <c r="D325" i="1"/>
  <c r="D321" i="1"/>
  <c r="D316" i="1"/>
  <c r="D314" i="1"/>
  <c r="D312" i="1"/>
  <c r="D305" i="1"/>
  <c r="D302" i="1"/>
  <c r="D299" i="1"/>
  <c r="D298" i="1"/>
  <c r="D291" i="1"/>
  <c r="D289" i="1"/>
  <c r="D286" i="1"/>
  <c r="D285" i="1"/>
  <c r="D283" i="1"/>
  <c r="D278" i="1"/>
  <c r="D272" i="1"/>
  <c r="D271" i="1"/>
  <c r="D267" i="1"/>
  <c r="D265" i="1"/>
  <c r="D258" i="1"/>
  <c r="D255" i="1"/>
  <c r="D253" i="1"/>
  <c r="D252" i="1"/>
  <c r="D250" i="1"/>
  <c r="D249" i="1"/>
  <c r="D248" i="1"/>
  <c r="D247" i="1"/>
  <c r="D243" i="1"/>
  <c r="D239" i="1"/>
  <c r="D230" i="1"/>
  <c r="D226" i="1"/>
  <c r="D215" i="1"/>
  <c r="D214" i="1"/>
  <c r="D213" i="1"/>
  <c r="D212" i="1"/>
  <c r="D211" i="1"/>
  <c r="D204" i="1"/>
  <c r="D203" i="1"/>
  <c r="D202" i="1"/>
  <c r="D190" i="1"/>
  <c r="D189" i="1"/>
  <c r="D188" i="1"/>
  <c r="D184" i="1"/>
  <c r="D183" i="1"/>
  <c r="D182" i="1"/>
  <c r="D181" i="1"/>
  <c r="D180" i="1"/>
  <c r="D178" i="1"/>
  <c r="D172" i="1"/>
  <c r="D169" i="1"/>
  <c r="D166" i="1"/>
  <c r="D161" i="1"/>
  <c r="D160" i="1"/>
  <c r="D154" i="1"/>
  <c r="D150" i="1"/>
  <c r="D148" i="1"/>
  <c r="D145" i="1"/>
  <c r="D144" i="1"/>
  <c r="D135" i="1"/>
  <c r="D134" i="1"/>
  <c r="D123" i="1"/>
  <c r="D119" i="1"/>
  <c r="D116" i="1"/>
  <c r="D114" i="1"/>
  <c r="D111" i="1"/>
  <c r="D106" i="1"/>
  <c r="D103" i="1"/>
  <c r="D101" i="1"/>
  <c r="D99" i="1"/>
  <c r="D94" i="1"/>
  <c r="D93" i="1"/>
  <c r="D92" i="1"/>
  <c r="D87" i="1"/>
  <c r="D85" i="1"/>
  <c r="D79" i="1"/>
  <c r="D78" i="1"/>
  <c r="D74" i="1"/>
  <c r="D63" i="1"/>
  <c r="D60" i="1"/>
  <c r="D59" i="1"/>
  <c r="D56" i="1"/>
  <c r="D52" i="1"/>
  <c r="D47" i="1"/>
  <c r="D46" i="1"/>
  <c r="D37" i="1"/>
  <c r="D35" i="1"/>
  <c r="D32" i="1"/>
  <c r="D31" i="1"/>
  <c r="D27" i="1"/>
  <c r="D25" i="1"/>
  <c r="D24" i="1"/>
  <c r="D23" i="1"/>
  <c r="D12" i="1"/>
  <c r="D11" i="1"/>
</calcChain>
</file>

<file path=xl/sharedStrings.xml><?xml version="1.0" encoding="utf-8"?>
<sst xmlns="http://schemas.openxmlformats.org/spreadsheetml/2006/main" count="1707" uniqueCount="1693">
  <si>
    <t>客戶編號</t>
  </si>
  <si>
    <t>汎翊國際料號</t>
  </si>
  <si>
    <t>品名規格</t>
  </si>
  <si>
    <t>餘數庫存</t>
  </si>
  <si>
    <t>已備未進貨</t>
  </si>
  <si>
    <t>業務備料</t>
  </si>
  <si>
    <t>備註</t>
  </si>
  <si>
    <t>辰尚填寫</t>
  </si>
  <si>
    <t>EC-10021A</t>
  </si>
  <si>
    <t>WR06X000PTL</t>
  </si>
  <si>
    <t>0603  5%  0 OHM  WTC</t>
  </si>
  <si>
    <t>RC0603JR070RL</t>
  </si>
  <si>
    <t>0603  5%  0 OHM  YAGEO</t>
  </si>
  <si>
    <t>CR03JL70R</t>
  </si>
  <si>
    <t>0603  5%  0 OHM  VIKING</t>
  </si>
  <si>
    <t>EC-10025A</t>
  </si>
  <si>
    <t>CR02JL60R</t>
  </si>
  <si>
    <t>0402  5%  0 OHM  VIKING</t>
  </si>
  <si>
    <t>WR04X000PTL</t>
  </si>
  <si>
    <t>0402  5%  0 OHM  WTC</t>
  </si>
  <si>
    <t>RC0402JR070RL</t>
  </si>
  <si>
    <t>0402  5%  0 OHM  YAGEO</t>
  </si>
  <si>
    <t>EC-10026A</t>
  </si>
  <si>
    <t>RC0402FR071K21L</t>
  </si>
  <si>
    <t>0402  1%  1.21K OHM  YAGEO</t>
  </si>
  <si>
    <t>CR02FL61K21</t>
  </si>
  <si>
    <t>0402  1%  1.21K OHM  VIKING</t>
  </si>
  <si>
    <t>EC-10027A</t>
  </si>
  <si>
    <t>RC0402JR071K5L</t>
  </si>
  <si>
    <t>0402  5%  1.5K OHM  YAGEO</t>
  </si>
  <si>
    <t>CR02JL61K5</t>
  </si>
  <si>
    <t>0402  5%  1.5K OHM  VIKING</t>
  </si>
  <si>
    <t>WR04X152JTL</t>
  </si>
  <si>
    <t>0402  5%  1.5K OHM  WTC</t>
  </si>
  <si>
    <t>EC-10028A</t>
  </si>
  <si>
    <t>WR04X1000FTL</t>
  </si>
  <si>
    <t>0402  1%  100 OHM  WTC</t>
  </si>
  <si>
    <t>CR02FL6100R</t>
  </si>
  <si>
    <t>0402  1%  100 OHM  VIKING</t>
  </si>
  <si>
    <t>RC0402FR07100RL</t>
  </si>
  <si>
    <t>0402  1%  100 OHM  YAGEO</t>
  </si>
  <si>
    <t>EC-10029A</t>
  </si>
  <si>
    <t>CR02FL610K</t>
  </si>
  <si>
    <t>0402  1%  10K OHM  VIKING</t>
  </si>
  <si>
    <t>WR04X1002FTL</t>
  </si>
  <si>
    <t>0402  1%  10K OHM  WTC</t>
  </si>
  <si>
    <t>RC0402FR0710KL</t>
  </si>
  <si>
    <t>0402  1%  10K OHM  YAGEO</t>
  </si>
  <si>
    <t>EC-10031A</t>
  </si>
  <si>
    <t>RC0402FR07133RL</t>
  </si>
  <si>
    <t>0402  1%  133 OHM  YAGEO</t>
  </si>
  <si>
    <t>EC-10032A</t>
  </si>
  <si>
    <t>RTT02102JTH</t>
  </si>
  <si>
    <t>0402  5%  1K OHM  RALEC</t>
  </si>
  <si>
    <t>WR04X102JTL</t>
  </si>
  <si>
    <t>0402  5%  1K OHM  WTC</t>
  </si>
  <si>
    <t>CR02JL61K</t>
  </si>
  <si>
    <t>0402  5%  1K OHM  VIKING</t>
  </si>
  <si>
    <t>RC0402JR071KL</t>
  </si>
  <si>
    <t>0402  5%  1K OHM  YAGEO</t>
  </si>
  <si>
    <t>EC-10033A</t>
  </si>
  <si>
    <t>CR02JL61M</t>
  </si>
  <si>
    <t>0402  5%  1M OHM  VIKING</t>
  </si>
  <si>
    <t>WR04X105JTL</t>
  </si>
  <si>
    <t>0402  5%  1M OHM  WTC</t>
  </si>
  <si>
    <t>RC0402JR071ML</t>
  </si>
  <si>
    <t>0402  5%  1M OHM  YAGEO</t>
  </si>
  <si>
    <t>EC-10034A</t>
  </si>
  <si>
    <t>CR02JL62K2</t>
  </si>
  <si>
    <t>0402  5%   2.2K  OHM  VIKING</t>
  </si>
  <si>
    <t>0402  5%  2.2K OHM  VIKING</t>
  </si>
  <si>
    <t>WR04X222JTL</t>
  </si>
  <si>
    <t>0402  5%  2.2K OHM  WTC</t>
  </si>
  <si>
    <t>RC0402JR072K2L</t>
  </si>
  <si>
    <t>0402  5%  2.2K OHM  YAGEO</t>
  </si>
  <si>
    <t>EC-10035A</t>
  </si>
  <si>
    <t>CR02JL620K</t>
  </si>
  <si>
    <t>0402  5%  20K OHM  VIKING  CR-02JL6---20KAC</t>
  </si>
  <si>
    <t>RC0402JR0720KL</t>
  </si>
  <si>
    <t>0402  5%  20K OHM  YAGEO</t>
  </si>
  <si>
    <t>EC-10036A</t>
  </si>
  <si>
    <t>CR0402J22RQ10</t>
  </si>
  <si>
    <t>0402  5%  22 OHM  EVER</t>
  </si>
  <si>
    <t>RTT02220JTH</t>
  </si>
  <si>
    <t>0402  5%  22 OHM  RALEC</t>
  </si>
  <si>
    <t>CR02JL622R</t>
  </si>
  <si>
    <t>0402  5%  22 OHM  VIKING</t>
  </si>
  <si>
    <t>RC0402JR0722RL</t>
  </si>
  <si>
    <t>0402  5%  22 OHM  YAGEO</t>
  </si>
  <si>
    <t>WR04X220JTL</t>
  </si>
  <si>
    <t>0402  5%  22 OHM  WTC</t>
  </si>
  <si>
    <t>EC-10037A</t>
  </si>
  <si>
    <t>RTT02330JTH</t>
  </si>
  <si>
    <t>0402  5%  33 OHM  RALEC</t>
  </si>
  <si>
    <t>WR04X330JTL</t>
  </si>
  <si>
    <t>0402  5%  33 OHM  WTC</t>
  </si>
  <si>
    <t>CR02JL633R</t>
  </si>
  <si>
    <t>0402  5%  33 OHM  VIKING</t>
  </si>
  <si>
    <t>RC0402JR0733RL</t>
  </si>
  <si>
    <t>0402  5%  33 OHM  YAGEO</t>
  </si>
  <si>
    <t>EC-10038A</t>
  </si>
  <si>
    <t>WR04X331JTL</t>
  </si>
  <si>
    <t>0402  5%  330 OHM  WTC</t>
  </si>
  <si>
    <t>RC0402JR07330RL</t>
  </si>
  <si>
    <t>0402  5%  330 OHM  YAGEO</t>
  </si>
  <si>
    <t>CR02JL6330R</t>
  </si>
  <si>
    <t>0402  5%  330 OHM  VIKING</t>
  </si>
  <si>
    <t>EC-10040A</t>
  </si>
  <si>
    <t>WR04X394JTL</t>
  </si>
  <si>
    <t>0402  5%  390K OHM  WTC</t>
  </si>
  <si>
    <t>RC0402JR07390KL</t>
  </si>
  <si>
    <t>0402  5%  390K OHM  YAGEO</t>
  </si>
  <si>
    <t>EC-10041A</t>
  </si>
  <si>
    <t>CR02FL64K7</t>
  </si>
  <si>
    <t>0402  1%  4.7K OHM  VIKING</t>
  </si>
  <si>
    <t>WR04X4701FTL</t>
  </si>
  <si>
    <t>0402  1%  4.7K OHM  WTC</t>
  </si>
  <si>
    <t>RC0402FR074K7L</t>
  </si>
  <si>
    <t>0402  1%  4.7K OHM  YAGEO</t>
  </si>
  <si>
    <t>EC-10042A</t>
  </si>
  <si>
    <t>WR04X562JTL</t>
  </si>
  <si>
    <t>0402  5%  5.6K OHM  WTC</t>
  </si>
  <si>
    <t>RC0402JR075K6L</t>
  </si>
  <si>
    <t>0402  5%  5.6K OHM  YAGEO</t>
  </si>
  <si>
    <t>EC-10043A</t>
  </si>
  <si>
    <t>RC0402FR0756RL</t>
  </si>
  <si>
    <t>0402  1%  56 OHM  YAGEO</t>
  </si>
  <si>
    <t>WR04X56R0FTL</t>
  </si>
  <si>
    <t>0402  1%  56 OHM  WTC</t>
  </si>
  <si>
    <t>CR02FL656R</t>
  </si>
  <si>
    <t>0402  1%  56 OHM  VIKING  CR-02FL6---56RAC</t>
  </si>
  <si>
    <t>EC-10044A</t>
  </si>
  <si>
    <t>CR02FL66K34</t>
  </si>
  <si>
    <t>0402  1%  6.34K OHM  VIKING</t>
  </si>
  <si>
    <t>RC0402FR076K34L</t>
  </si>
  <si>
    <t>0402  1%  6.34K OHM  YAGEO</t>
  </si>
  <si>
    <t>WR04X6341FTL</t>
  </si>
  <si>
    <t>0402  1%  6.34K OHM  WTC</t>
  </si>
  <si>
    <t>0402 1%  6.34K OHM  VIKING</t>
  </si>
  <si>
    <t>EC-10046A</t>
  </si>
  <si>
    <t>CR02JL675R</t>
  </si>
  <si>
    <t>0402  5%  75 OHM  VIKING  CR-02JL6---75RAC</t>
  </si>
  <si>
    <t>RC0402JR0775RL</t>
  </si>
  <si>
    <t>0402  5%  75 OHM  YAGEO</t>
  </si>
  <si>
    <t>EC-10047A</t>
  </si>
  <si>
    <t>WR04X820JTL</t>
  </si>
  <si>
    <t>0402  5%  82 OHM  WTC</t>
  </si>
  <si>
    <t>RC0402JR0782RL</t>
  </si>
  <si>
    <t>0402  5%  82 OHM  YAGEO</t>
  </si>
  <si>
    <t>CR02JL682R</t>
  </si>
  <si>
    <t>0402  5%  82 OHM  VIKING</t>
  </si>
  <si>
    <t>EC-10049A</t>
  </si>
  <si>
    <t>RTT02201JTH</t>
  </si>
  <si>
    <t>0402  5%  200 OHM  RALEC</t>
  </si>
  <si>
    <t>WR04X201JTL</t>
  </si>
  <si>
    <t>0402  5%  200 OHM  WTC</t>
  </si>
  <si>
    <t>CR02JL6200R</t>
  </si>
  <si>
    <t>0402  5%  200 OHM  VIKING</t>
  </si>
  <si>
    <t>RC0402JR07200RL</t>
  </si>
  <si>
    <t>0402  5%  200 OHM  YAGEO</t>
  </si>
  <si>
    <t>EC-10050A</t>
  </si>
  <si>
    <t>RC0402JR07470RL</t>
  </si>
  <si>
    <t>0402  5%  470 OHM  YAGEO</t>
  </si>
  <si>
    <t>EC-10052A</t>
  </si>
  <si>
    <t>RTT02202JTH</t>
  </si>
  <si>
    <t>0402  5%  2K OHM  RALEC</t>
  </si>
  <si>
    <t>CR02JL62K</t>
  </si>
  <si>
    <t>0402  5%  2K OHM  VIKING</t>
  </si>
  <si>
    <t>WR04X202JTL</t>
  </si>
  <si>
    <t>0402  5%  2K OHM  WTC</t>
  </si>
  <si>
    <t>RC0402JR072KL</t>
  </si>
  <si>
    <t>0402  5%  2K OHM  YAGEO</t>
  </si>
  <si>
    <t>EC-10053A</t>
  </si>
  <si>
    <t>WR04X1212FTL</t>
  </si>
  <si>
    <t>0402  1%  12.1K OHM  WTC</t>
  </si>
  <si>
    <t>CR02FL612K1</t>
  </si>
  <si>
    <t>0402  1%  12.1K OHM  VIKING  CR-02FL6--12K1AC</t>
  </si>
  <si>
    <t>RC0402FR0712K1L</t>
  </si>
  <si>
    <t>0402  1%  12.1K OHM  YAGEO</t>
  </si>
  <si>
    <t>EC-10054A</t>
  </si>
  <si>
    <t>RC0402FR07536KL</t>
  </si>
  <si>
    <t>0402  1%  536K OHM  YAGEO</t>
  </si>
  <si>
    <t>EC-10055A</t>
  </si>
  <si>
    <t>RC0402JR07220KL</t>
  </si>
  <si>
    <t>0402  5%  220K OHM  YAGEO</t>
  </si>
  <si>
    <t>EC-10058A</t>
  </si>
  <si>
    <t>RC0402FR07475RL</t>
  </si>
  <si>
    <t>0402  1%  475 OHM  YAGEO</t>
  </si>
  <si>
    <t>CR02FL6475R</t>
  </si>
  <si>
    <t>0402  1%  475 OHM  VIKING</t>
  </si>
  <si>
    <t>EC-10059A</t>
  </si>
  <si>
    <t>CR02FL6768R</t>
  </si>
  <si>
    <t>0402  1%  768 OHM  VIKING</t>
  </si>
  <si>
    <t>WR04X7680FTL</t>
  </si>
  <si>
    <t>0402  1%  768 OHM  WTC</t>
  </si>
  <si>
    <t>RC0402FR07768RL</t>
  </si>
  <si>
    <t>0402  1%   768 OHM  YAGEO</t>
  </si>
  <si>
    <t>EC-10064A</t>
  </si>
  <si>
    <t>RC0402FR07590RL</t>
  </si>
  <si>
    <t>0402  1%  590 OHM  YAGEO</t>
  </si>
  <si>
    <t>CR02FL6590R</t>
  </si>
  <si>
    <t>0402  1%  590 OHM  VIKING  CR-02FL6--590RAC</t>
  </si>
  <si>
    <t>EC-10065A</t>
  </si>
  <si>
    <t>RC0402FR0712KL</t>
  </si>
  <si>
    <t>0402  1%  12K OHM  YAGEO</t>
  </si>
  <si>
    <t>CR02FL612K</t>
  </si>
  <si>
    <t>0402  1%  12K OHM  VIKING  CR-02FL6---12KAC</t>
  </si>
  <si>
    <t>EC-10067A</t>
  </si>
  <si>
    <t>VR3323V10K</t>
  </si>
  <si>
    <t>可調電阻  3323V-10K</t>
  </si>
  <si>
    <t>EC-10068A</t>
  </si>
  <si>
    <t>RTT02473JTH</t>
  </si>
  <si>
    <t>0402  5%  47K OHM  RALEC</t>
  </si>
  <si>
    <t>CR02JL647K</t>
  </si>
  <si>
    <t>0402  5%  47K OHM  VIKING</t>
  </si>
  <si>
    <t>RC0402JR0747KL</t>
  </si>
  <si>
    <t>0402  5%  47K OHM  YAGEO</t>
  </si>
  <si>
    <t>WR04X473JTL</t>
  </si>
  <si>
    <t>0402  5%  47K OHM  WTC</t>
  </si>
  <si>
    <t>EC-10069A</t>
  </si>
  <si>
    <t>CRA034RJ33RP05改取CRA034RJ33R0P05Z</t>
  </si>
  <si>
    <t>SMD 排阻 0603*4-8P4R-5%-33R</t>
  </si>
  <si>
    <t>EC-10072A</t>
  </si>
  <si>
    <t>WR04X101JTL</t>
  </si>
  <si>
    <t>0402  5%  100 OHM  WTC</t>
  </si>
  <si>
    <t>RC0402JR07100RL</t>
  </si>
  <si>
    <t>0402  5%  100 OHM  YAGEO</t>
  </si>
  <si>
    <t>CR02JL6100R</t>
  </si>
  <si>
    <t>0402  5%  100 OHM  VIKING</t>
  </si>
  <si>
    <t>EC-10073A</t>
  </si>
  <si>
    <t>RC0402JR07150RL</t>
  </si>
  <si>
    <t>0402  5%  150 OHM  YAGEO</t>
  </si>
  <si>
    <t>WR04X151JTL</t>
  </si>
  <si>
    <t>0402  5%  150 OHM  WTC</t>
  </si>
  <si>
    <t>EC-10076A</t>
  </si>
  <si>
    <t>CR02FL61K</t>
  </si>
  <si>
    <t>0402  1%  1K OHM  VIKING</t>
  </si>
  <si>
    <t>RC0402FR071KL</t>
  </si>
  <si>
    <t>0402  1%  1K OHM  YAGEO</t>
  </si>
  <si>
    <t>WR04X1001FTL</t>
  </si>
  <si>
    <t>0402  1%  1K OHM  WTC</t>
  </si>
  <si>
    <t>EC-10083A</t>
  </si>
  <si>
    <t>RC0402FR073K48L</t>
  </si>
  <si>
    <t>0402  1%  3.48K OHM  YAGEO</t>
  </si>
  <si>
    <t>EC-10084A</t>
  </si>
  <si>
    <t>WR04X6041FTL</t>
  </si>
  <si>
    <t>0402  1%  6.04K OHM  WTC</t>
  </si>
  <si>
    <t>RC0402FR076K04L</t>
  </si>
  <si>
    <t>0402  1%  6.04K OHM  YAGEO</t>
  </si>
  <si>
    <t>RTT026041FTH</t>
  </si>
  <si>
    <t>0402  1%  6.04K OHM  RALEC</t>
  </si>
  <si>
    <t>EC-10089A</t>
  </si>
  <si>
    <t>WR04X4703FTL</t>
  </si>
  <si>
    <t>0402  1%  470K OHM  WTC</t>
  </si>
  <si>
    <t>RC0402FR07470KL</t>
  </si>
  <si>
    <t>0402  1%  470K OHM  YAGEO</t>
  </si>
  <si>
    <t>CR02FL6470K</t>
  </si>
  <si>
    <t>0402  1%  470K OHM  VIKING  CR-02FL6--470KAC</t>
  </si>
  <si>
    <t>EC-10092A</t>
  </si>
  <si>
    <t>CR02JL6100K</t>
  </si>
  <si>
    <t>0402  5%  100K OHM  VIKING</t>
  </si>
  <si>
    <t>WR04X104JTL</t>
  </si>
  <si>
    <t>0402  5%  100K OHM  WTC</t>
  </si>
  <si>
    <t>RC0402JR07100KL</t>
  </si>
  <si>
    <t>0402  5%  100K OHM  YAGEO</t>
  </si>
  <si>
    <t>EC-10093A</t>
  </si>
  <si>
    <t>RC0402JR07300KL</t>
  </si>
  <si>
    <t>0402  5%  300K OHM  YAGEO</t>
  </si>
  <si>
    <t>EC-10096A</t>
  </si>
  <si>
    <t>WR04X2490FTL</t>
  </si>
  <si>
    <t>0402  1%  249 OHM  WTC</t>
  </si>
  <si>
    <t>RC0402FR07249RL</t>
  </si>
  <si>
    <t>0402  1%  249 OHM  YAGEO</t>
  </si>
  <si>
    <t>CR02FL6249R</t>
  </si>
  <si>
    <t>0402  1%  249 OHM  VIKING  CR-02FL6--249RAC</t>
  </si>
  <si>
    <t>CR0402F249RQ10</t>
  </si>
  <si>
    <t>0402  1%   249  OHM  EVER</t>
  </si>
  <si>
    <t>EC-10098A</t>
  </si>
  <si>
    <t>RC0402FR073K6L</t>
  </si>
  <si>
    <t>0402 1%  3.6K OHM  YAGEO</t>
  </si>
  <si>
    <t>WR04X3601FTL</t>
  </si>
  <si>
    <t>0402 1%  3.6K OHM  WTC</t>
  </si>
  <si>
    <t>EC-10100A</t>
  </si>
  <si>
    <t>WR04X49R9FTL</t>
  </si>
  <si>
    <t>0402  1%  49.9 OHM  WTC</t>
  </si>
  <si>
    <t>RC0402FR0749R9L</t>
  </si>
  <si>
    <t>0402  1%  49.9 OHM   YAGEO</t>
  </si>
  <si>
    <t>CR02FL649R9</t>
  </si>
  <si>
    <t>0402  1%  49.9 OHM  VIKING  CR-02FL6--49R9AC</t>
  </si>
  <si>
    <t>EC-10105A</t>
  </si>
  <si>
    <t>WR04X2001FTL</t>
  </si>
  <si>
    <t>0402  1%  2K OHM  WTC</t>
  </si>
  <si>
    <t>RC0402FR072KL</t>
  </si>
  <si>
    <t>0402  1%  2K OHM  YAGEO</t>
  </si>
  <si>
    <t>EC-10106A</t>
  </si>
  <si>
    <t>CR02FL61K6</t>
  </si>
  <si>
    <t>0402  1%  1.6K OHM  VIKING  CR-02FL6---1K6AC</t>
  </si>
  <si>
    <t>RC0402FR071K6L</t>
  </si>
  <si>
    <t>0402  1%  1.6K OHM  YAGEO</t>
  </si>
  <si>
    <t>EC-10107A</t>
  </si>
  <si>
    <t>RC0402FR0720KL</t>
  </si>
  <si>
    <t>0402  1%  20K OHM  YAGEO</t>
  </si>
  <si>
    <t>WR04X2002FTL</t>
  </si>
  <si>
    <t>0402  1%  20K OHM  WTC</t>
  </si>
  <si>
    <t>CR02FL620K</t>
  </si>
  <si>
    <t>0402  1%  20K OHM  VIKING</t>
  </si>
  <si>
    <t>RTT022002FTH</t>
  </si>
  <si>
    <t>0402  1%  20K OHM  RALEC</t>
  </si>
  <si>
    <t>EC-10111A</t>
  </si>
  <si>
    <t>RTT025761FTH</t>
  </si>
  <si>
    <t>0402  1%  5.76K OHM  RALEC</t>
  </si>
  <si>
    <t>RC0402FR075K76L</t>
  </si>
  <si>
    <t>0402  1%  5.76K OHM  YAGEO</t>
  </si>
  <si>
    <t>EC-10119A</t>
  </si>
  <si>
    <t>WR04X1102FTL</t>
  </si>
  <si>
    <t>0402  1%  11K OHM  WTC</t>
  </si>
  <si>
    <t>RTT021102FTH</t>
  </si>
  <si>
    <t>0402  1%  11K OHM  RALEC</t>
  </si>
  <si>
    <t>RC0402FR0711KL</t>
  </si>
  <si>
    <t>0402  1%  11K OHM  YAGEO</t>
  </si>
  <si>
    <t>CR02FL611K</t>
  </si>
  <si>
    <t>0402  1%  11K OHM  VIKING</t>
  </si>
  <si>
    <t>EC-10120A</t>
  </si>
  <si>
    <t>RC0402FR074K02L</t>
  </si>
  <si>
    <t>0402  1%  4.02K OHM  YAGEO</t>
  </si>
  <si>
    <t>WR04X4021FTL</t>
  </si>
  <si>
    <t>0402  1%  4.02K OHM  WTC</t>
  </si>
  <si>
    <t>CR02FL64K02</t>
  </si>
  <si>
    <t>0402  1%  4.02K OHM  VIKING  CR-02FL6--4K02AC</t>
  </si>
  <si>
    <t>EC-10129A</t>
  </si>
  <si>
    <t>RC0402FR0719K1L</t>
  </si>
  <si>
    <t>0402  1%  19.1K OHM  YAGEO</t>
  </si>
  <si>
    <t>CR02FL619K1</t>
  </si>
  <si>
    <t>0402  1%  19.1K OHM  VIKING  CR-02FL6--19K1AC</t>
  </si>
  <si>
    <t>EC-10130A</t>
  </si>
  <si>
    <t>CR0402F1K96Q10Z</t>
  </si>
  <si>
    <t>0402  1%   1.96K  OHM  EVER</t>
  </si>
  <si>
    <t>WR04X1961FTL</t>
  </si>
  <si>
    <t>0402  1%   1.96K  OHM  WTC</t>
  </si>
  <si>
    <t>EC-10134A</t>
  </si>
  <si>
    <t>WR04X5491FTL</t>
  </si>
  <si>
    <t>0402  1%  5.49K OHM  WTC</t>
  </si>
  <si>
    <t>RC0402FR075K49L</t>
  </si>
  <si>
    <t>0402  1%  5.49K OHM  YAGEO</t>
  </si>
  <si>
    <t>EC-10136A</t>
  </si>
  <si>
    <t>RC0402FR071K43L</t>
  </si>
  <si>
    <t>0402  1%  1.43K OHM  YAGEO</t>
  </si>
  <si>
    <t>CR02FL61K43</t>
  </si>
  <si>
    <t>0402  1%  1.43K OHM  VIKING</t>
  </si>
  <si>
    <t>EC-10137A</t>
  </si>
  <si>
    <t>CR02FL6100K</t>
  </si>
  <si>
    <t>0402  1%  100K OHM  VIKING</t>
  </si>
  <si>
    <t>WR04X1003FTL</t>
  </si>
  <si>
    <t>0402  1%  100K OHM  WTC</t>
  </si>
  <si>
    <t>RC0402FR07100KL</t>
  </si>
  <si>
    <t>0402  1%  100K OHM  YAGEO</t>
  </si>
  <si>
    <t>EC-10139A</t>
  </si>
  <si>
    <t>CR02FL614K3</t>
  </si>
  <si>
    <t>0402  1%  14.3K OHM  VIKING</t>
  </si>
  <si>
    <t>RC0402FR0714K3L</t>
  </si>
  <si>
    <t>0402  1%  14.3K OHM  YAGEO</t>
  </si>
  <si>
    <t>WR04X1432FTL</t>
  </si>
  <si>
    <t>0402  1%  14.3K OHM  WTC</t>
  </si>
  <si>
    <t>EC-10140A</t>
  </si>
  <si>
    <t>RC0402FR07137RL</t>
  </si>
  <si>
    <t>0402  1%   137 OHM  YAGEO</t>
  </si>
  <si>
    <t>2025-03-10 客戶用量很少 經理告知不需要再備</t>
  </si>
  <si>
    <t>EC-10143A</t>
  </si>
  <si>
    <t>WR04X2320FTL</t>
  </si>
  <si>
    <t>0402  1%  232 OHM  WTC</t>
  </si>
  <si>
    <t>RC0402FR07232RL</t>
  </si>
  <si>
    <t>0402  1%  232 OHM  YAGEO</t>
  </si>
  <si>
    <t>EC-10144A</t>
  </si>
  <si>
    <t>WR04X2400FTL</t>
  </si>
  <si>
    <t>0402  1%  240 OHM  WTC</t>
  </si>
  <si>
    <t>CR02FL6240R</t>
  </si>
  <si>
    <t>0402  1%  240 OHM  VIKING</t>
  </si>
  <si>
    <t>RC0402FR07240RL</t>
  </si>
  <si>
    <t>0402  1%  240 OHM  YAGEO</t>
  </si>
  <si>
    <t>EC-10147A</t>
  </si>
  <si>
    <t>WR04X4991FTL</t>
  </si>
  <si>
    <t>0402  1%  4.99K OHM  WTC</t>
  </si>
  <si>
    <t>RC0402FR074K99L</t>
  </si>
  <si>
    <t>0402  1%  4.99K OHM  YAGEO</t>
  </si>
  <si>
    <t>EC-10148A</t>
  </si>
  <si>
    <t xml:space="preserve">WR04X273JTL </t>
  </si>
  <si>
    <t>0402  5%  27K OHM  WTC</t>
  </si>
  <si>
    <t>RC0402JR0727KL</t>
  </si>
  <si>
    <t>0402  5%  27K OHM  YAGEO</t>
  </si>
  <si>
    <t>EC-10151A</t>
  </si>
  <si>
    <t>RC0402JR073K3L</t>
  </si>
  <si>
    <t>0402 5%  3.3K OHM  YAGEO</t>
  </si>
  <si>
    <t>WR04X332JTL</t>
  </si>
  <si>
    <t>0402  5%  3.3K OHM  WTC</t>
  </si>
  <si>
    <t>EC-10152A</t>
  </si>
  <si>
    <t>WR04X3741FTL</t>
  </si>
  <si>
    <t>0402  1%  3.74K OHM  WTC</t>
  </si>
  <si>
    <t>RC0402FR073K74L</t>
  </si>
  <si>
    <t>0402  1%  3.74K OHM  YAGEO</t>
  </si>
  <si>
    <t>EC-10153A</t>
  </si>
  <si>
    <t>WR04X510JTL</t>
  </si>
  <si>
    <t>0402  5%  51 OHM  WTC</t>
  </si>
  <si>
    <t>RC0402JR0751RL</t>
  </si>
  <si>
    <t>0402  5%  51 OHM  YAGEO</t>
  </si>
  <si>
    <t>EC-10154A</t>
  </si>
  <si>
    <t>RC0402JR07680RL</t>
  </si>
  <si>
    <t>0402  5%  680 OHM  YAGEO</t>
  </si>
  <si>
    <t>WR04X681JTL</t>
  </si>
  <si>
    <t>0402  5%  680 OHM  WTC</t>
  </si>
  <si>
    <t>EC-10164A</t>
  </si>
  <si>
    <t>RC0402FR07274RL</t>
  </si>
  <si>
    <t>0402  1%  274 OHM  YAGEO</t>
  </si>
  <si>
    <t>EC-10167A</t>
  </si>
  <si>
    <t>WR04X8872FTL</t>
  </si>
  <si>
    <t>0402  1%  88.7K OHM  WTC</t>
  </si>
  <si>
    <t>RC0402FR0788K7L</t>
  </si>
  <si>
    <t>0402 1%  88.7K OHM  YAGEO</t>
  </si>
  <si>
    <t>EC-10170A</t>
  </si>
  <si>
    <t>RTT027870FTH</t>
  </si>
  <si>
    <t>0402  1%  787 OHM  RALEC</t>
  </si>
  <si>
    <t>WR04X7870FTL</t>
  </si>
  <si>
    <t>0402  1%  787 OHM  WTC</t>
  </si>
  <si>
    <t>CR02FL6787R</t>
  </si>
  <si>
    <t>0402  1%  787 OHM  VIKING</t>
  </si>
  <si>
    <t>RC0402FR07787RL</t>
  </si>
  <si>
    <t>0402  1%  787 OHM  YAGEO</t>
  </si>
  <si>
    <t>EC-10171A</t>
  </si>
  <si>
    <t>RC0402FR0723K2L</t>
  </si>
  <si>
    <t>0402  1%  23.2K OHM  YAGEO</t>
  </si>
  <si>
    <t>EC-10172A</t>
  </si>
  <si>
    <t>RTT021372FTH</t>
  </si>
  <si>
    <t>0402  1%  13.7K OHM  RALEC</t>
  </si>
  <si>
    <t>RC0402FR0713K7L</t>
  </si>
  <si>
    <t>0402  1%  13.7K OHM  YAGEO</t>
  </si>
  <si>
    <t>EC-10173A</t>
  </si>
  <si>
    <t>RC0402FR071K1L</t>
  </si>
  <si>
    <t>0402  1%  1.1K OHM  YAGEO</t>
  </si>
  <si>
    <t>EC-10175A</t>
  </si>
  <si>
    <t>RC0402FR0724KL</t>
  </si>
  <si>
    <t>0402  1%  24K OHM  YAGEO</t>
  </si>
  <si>
    <t>CR02FL624K</t>
  </si>
  <si>
    <t>0402  1%  24K OHM  VIKING  CR-02FL6---24KAC</t>
  </si>
  <si>
    <t>WR04X2402FTL</t>
  </si>
  <si>
    <t>0402  1%  24K OHM  WTC</t>
  </si>
  <si>
    <t>EC-10176A</t>
  </si>
  <si>
    <t>RC1206JR070RL</t>
  </si>
  <si>
    <t>1206  5%  0 OHM  YAGEO</t>
  </si>
  <si>
    <t>CR06JL70R</t>
  </si>
  <si>
    <t>1206  5%  0 OHM  VIKING</t>
  </si>
  <si>
    <t>WR12X000PTL</t>
  </si>
  <si>
    <t>1206  5%  0 OHM  WTC</t>
  </si>
  <si>
    <t>EC-10177A</t>
  </si>
  <si>
    <t>WR04X2611FTL</t>
  </si>
  <si>
    <t>0402  1%  2.61K OHM  WTC</t>
  </si>
  <si>
    <t>RC0402FR072K61L</t>
  </si>
  <si>
    <t>0402  1%  2.61K OHM  YAGEO</t>
  </si>
  <si>
    <t>CR02FL62K61</t>
  </si>
  <si>
    <t>0402  1%  2.61K OHM  VIKING</t>
  </si>
  <si>
    <t>EC-10178A</t>
  </si>
  <si>
    <t>RC0402FR0790K9L</t>
  </si>
  <si>
    <t>0402  1%  90.9K OHM  YAGEO</t>
  </si>
  <si>
    <t>CR02FL690K9</t>
  </si>
  <si>
    <t>0402  1%  90.9K OHM  VIKING  CR-02FL6--90K9AC</t>
  </si>
  <si>
    <t>WR04X9092FTL</t>
  </si>
  <si>
    <t>0402  1%  90.9K OHM  WTC</t>
  </si>
  <si>
    <t>CR0402F90K9Q10</t>
  </si>
  <si>
    <t>0402  1%  90.9K OHM  EVER</t>
  </si>
  <si>
    <t>EC-10180A</t>
  </si>
  <si>
    <t>CR02FL6200R</t>
  </si>
  <si>
    <t>0402  1%  200 OHM  VIKING</t>
  </si>
  <si>
    <t>WR04X2000FTL</t>
  </si>
  <si>
    <t>0402  1%  200 OHM  WTC</t>
  </si>
  <si>
    <t>RC0402FR07200RL</t>
  </si>
  <si>
    <t>0402  1%  200 OHM  YAGEO</t>
  </si>
  <si>
    <t>EC-10181A</t>
  </si>
  <si>
    <t>WR04X1500FTL</t>
  </si>
  <si>
    <t>0402  1%  150 OHM  WTC</t>
  </si>
  <si>
    <t>RTT021500FTH</t>
  </si>
  <si>
    <t>0402  1%  150 OHM  RALEC</t>
  </si>
  <si>
    <t>CR02FL6150R</t>
  </si>
  <si>
    <t>0402  1%  150 OHM  VIKING</t>
  </si>
  <si>
    <t>RC0402FR07150RL</t>
  </si>
  <si>
    <t>0402  1%  150 OHM  YAGEO</t>
  </si>
  <si>
    <t>EC-10182A</t>
  </si>
  <si>
    <t>RC0603JR07150KL</t>
  </si>
  <si>
    <t>0603  5%  150K OHM  YAGEO</t>
  </si>
  <si>
    <t>EC-10183A</t>
  </si>
  <si>
    <t>RC0402FR071K27L</t>
  </si>
  <si>
    <t>0402  1%  1.27K OHM  YAGEO</t>
  </si>
  <si>
    <t>RTT021271FTH</t>
  </si>
  <si>
    <t>0402  1%  1.27K OHM  RALEC</t>
  </si>
  <si>
    <t>CR02FL61K27</t>
  </si>
  <si>
    <t>0402  1%  1.27K OHM  VIKING  CR-02FL6--1K27AC</t>
  </si>
  <si>
    <t>EC-10184A</t>
  </si>
  <si>
    <t>RC0402FR071K54L</t>
  </si>
  <si>
    <t>0402  1%  1K54 OHM  YAGEO</t>
  </si>
  <si>
    <t>EC-10185A</t>
  </si>
  <si>
    <t>WR04X1502FTL</t>
  </si>
  <si>
    <t>0402  1%  15K OHM  WTC</t>
  </si>
  <si>
    <t>RC0402FR0715KL</t>
  </si>
  <si>
    <t>0402  1%   15K  OHM  YAGEO</t>
  </si>
  <si>
    <t>EC-10190A</t>
  </si>
  <si>
    <t>RTEWTF02103J3IN</t>
  </si>
  <si>
    <t>SMD 熱敏電阻 0402 10KR ±5%  B值：3435  EWTF02-103J3I-N</t>
  </si>
  <si>
    <t>EC-10196A</t>
  </si>
  <si>
    <t>WR04X5110FTL</t>
  </si>
  <si>
    <t>0402  1%  511 OHM  WTC</t>
  </si>
  <si>
    <t>EC-10197A</t>
  </si>
  <si>
    <t>YC164FR0751RL</t>
  </si>
  <si>
    <t>SMD 排阻 0603*4-8P4R-1%-51R  YAGEO</t>
  </si>
  <si>
    <t>CRA034RF51R0P05Z</t>
  </si>
  <si>
    <t>SMD 排阻 0603*4-8P4R-1%-51R</t>
  </si>
  <si>
    <t>EC-10202A</t>
  </si>
  <si>
    <t>LR12FTER008</t>
  </si>
  <si>
    <t>2512  1%  0.008 OHM   VIKING</t>
  </si>
  <si>
    <t>EC-10203A</t>
  </si>
  <si>
    <t>CRH1206FR010P05Z</t>
  </si>
  <si>
    <t>1206  1%  0.01 OHM  1/2W  EVER</t>
  </si>
  <si>
    <t>EC-10206A</t>
  </si>
  <si>
    <t>CR02FL614K</t>
  </si>
  <si>
    <t>0402  1%  14K OHM  VIKING  CR-02FL6---14KAC</t>
  </si>
  <si>
    <t>RC0402FR0714KL</t>
  </si>
  <si>
    <t>0402  1%  14K OHM  YAGEO</t>
  </si>
  <si>
    <t>RTT021402FTH</t>
  </si>
  <si>
    <t>0402  1%  14K OHM  RALEC</t>
  </si>
  <si>
    <t>WR04X1402FTL</t>
  </si>
  <si>
    <t>0402  1%  14K OHM  WTC</t>
  </si>
  <si>
    <t>EC-10210A</t>
  </si>
  <si>
    <t>EC-10211A</t>
  </si>
  <si>
    <t>WR04X3160FTL</t>
  </si>
  <si>
    <t>0402  1%  316 OHM  WTC</t>
  </si>
  <si>
    <t>RC0402FR07316RL</t>
  </si>
  <si>
    <t>0402  1%  316 OHM  YAGEO</t>
  </si>
  <si>
    <t>EC-10212A</t>
  </si>
  <si>
    <t>RC0402FR0742K2L</t>
  </si>
  <si>
    <t>0402  1%  42.2K OHM  YAGEO</t>
  </si>
  <si>
    <t>RTT024222FTH</t>
  </si>
  <si>
    <t>0402  1%  42.2K OHM  RALEC</t>
  </si>
  <si>
    <t>EC-10214A</t>
  </si>
  <si>
    <t>CR02FL6499R</t>
  </si>
  <si>
    <t>0402  1%  499 OHM  VIKING</t>
  </si>
  <si>
    <t>RC0402FR07499RL</t>
  </si>
  <si>
    <t>0402  1%  499 OHM  YAGEO</t>
  </si>
  <si>
    <t>WR04X4990FTL</t>
  </si>
  <si>
    <t>0402  1%  499 OHM  WTC</t>
  </si>
  <si>
    <t>EC-10215A</t>
  </si>
  <si>
    <t>RC0402FR0754K9L</t>
  </si>
  <si>
    <t>0402  1%  54.9K OHM  YAGEO</t>
  </si>
  <si>
    <t>WR04X5492FTL</t>
  </si>
  <si>
    <t>0402  1%  54.9K OHM  WTC</t>
  </si>
  <si>
    <t>EC-10217A</t>
  </si>
  <si>
    <t>RC0402FR0780R6L</t>
  </si>
  <si>
    <t>0402  1%  80.6 OHM  YAGEO</t>
  </si>
  <si>
    <t>EC-10218A</t>
  </si>
  <si>
    <t>RTT028062FTH</t>
  </si>
  <si>
    <t>0402  1%  80.6K OHM  RALEC</t>
  </si>
  <si>
    <t>RC0402FR0780K6L</t>
  </si>
  <si>
    <t>0402  1%  80.6K OHM  YAGEO</t>
  </si>
  <si>
    <t>CR02FL680K6</t>
  </si>
  <si>
    <t>0402  1%  80.6K OHM  VIKING</t>
  </si>
  <si>
    <t>CR0402F80K6Q10Z</t>
  </si>
  <si>
    <t>0402  1%  80.6K OHM  EVER</t>
  </si>
  <si>
    <t>EC-10221A</t>
  </si>
  <si>
    <t>CRA034RJ39RP05</t>
  </si>
  <si>
    <t>SMD 排阻 0603*4-8P4R-5%-39R</t>
  </si>
  <si>
    <t>EC-10222A</t>
  </si>
  <si>
    <t>CRA034RF56RP05</t>
  </si>
  <si>
    <t>SMD 排阻 0603*4-8P4R-1%-56R</t>
  </si>
  <si>
    <t>客戶通知不會再購買了</t>
  </si>
  <si>
    <t>EC-10223A</t>
  </si>
  <si>
    <t>WR04X3922FTL</t>
  </si>
  <si>
    <t>0402  1%  39.2K OHM  WTC</t>
  </si>
  <si>
    <t>RC0402FR0739K2L</t>
  </si>
  <si>
    <t>0402  1%  39.2K OHM  YAGEO</t>
  </si>
  <si>
    <t>EC-10228A</t>
  </si>
  <si>
    <t>WR04X4420FTL</t>
  </si>
  <si>
    <t>0402  1%  442 OHM  WTC</t>
  </si>
  <si>
    <t>RTT024420FTH</t>
  </si>
  <si>
    <t>0402  1%  442 OHM  RALEC</t>
  </si>
  <si>
    <t>RC0402FR07442RL</t>
  </si>
  <si>
    <t>0402  1%  442 OHM  YAGEO</t>
  </si>
  <si>
    <t>CR0402F442RQ10Z</t>
  </si>
  <si>
    <t>0402  1%  442 OHM  EVER</t>
  </si>
  <si>
    <t>EC-10229A</t>
  </si>
  <si>
    <t>RC0402JR075K1L</t>
  </si>
  <si>
    <t>0402  5%  5.1K OHM  YAGEO</t>
  </si>
  <si>
    <t>WR04X512JTL</t>
  </si>
  <si>
    <t>0402  5%  5.1K OHM  WTC</t>
  </si>
  <si>
    <t>EC-10230A</t>
  </si>
  <si>
    <t>RC0402FR07113KL</t>
  </si>
  <si>
    <t>0402  1%  113K OHM  YAGEO</t>
  </si>
  <si>
    <t>CR02FL6113K</t>
  </si>
  <si>
    <t>0402  1%  113K OHM  VIKING</t>
  </si>
  <si>
    <t>EC-10231A</t>
  </si>
  <si>
    <t>RC0402FR07200KL</t>
  </si>
  <si>
    <t>0402  1%  200K OHM  YAGEO</t>
  </si>
  <si>
    <t>WR04X2003FTL</t>
  </si>
  <si>
    <t>0402  1%  200K OHM  WTC</t>
  </si>
  <si>
    <t>CR02FL6200K</t>
  </si>
  <si>
    <t>0402  1%  200K OHM  VIKING</t>
  </si>
  <si>
    <t>EC-10234A</t>
  </si>
  <si>
    <t>CR02FL634K</t>
  </si>
  <si>
    <t>0402  1%  34K OHM  VIKING  CR-02FL6---34KAC</t>
  </si>
  <si>
    <t>RC0402FR0734KL</t>
  </si>
  <si>
    <t>0402  1%  34K OHM  YAGEO</t>
  </si>
  <si>
    <t>EC-10236A</t>
  </si>
  <si>
    <t>RC0402FR0778K7L</t>
  </si>
  <si>
    <t>0402  1%  78.7K OHM  YAGEO</t>
  </si>
  <si>
    <t>CR0402F78K7Q10</t>
  </si>
  <si>
    <t>0402  1%  78.7K OHM  EVER</t>
  </si>
  <si>
    <t>RTT027872FTH</t>
  </si>
  <si>
    <t>0402  1%  78.7K OHM  RALEC</t>
  </si>
  <si>
    <t>EC-10238A</t>
  </si>
  <si>
    <t>CR02FL640K2</t>
  </si>
  <si>
    <t>0402  1%  40.2K OHM  VIKING  CR-02FL6--40K2AC</t>
  </si>
  <si>
    <t>WR04X4022FTL</t>
  </si>
  <si>
    <t>0402  1%  40.2K OHM  WTC</t>
  </si>
  <si>
    <t>RC0402FR0740K2L</t>
  </si>
  <si>
    <t>0402  1%  40.2K OHM  YAGEO</t>
  </si>
  <si>
    <t>EC-10239A</t>
  </si>
  <si>
    <t>WR04X8061FTL</t>
  </si>
  <si>
    <t>0402  1%  8.06K OHM  WTC</t>
  </si>
  <si>
    <t>RC0402FR078K06L</t>
  </si>
  <si>
    <t>0402  1%  8.06K OHM  YAGEO</t>
  </si>
  <si>
    <t>CR02FL68K06</t>
  </si>
  <si>
    <t>0402  1%  8.06K OHM  VIKING  CR-02FL6--8K06AC</t>
  </si>
  <si>
    <t>EC-10241A</t>
  </si>
  <si>
    <t>RTT021650FTH</t>
  </si>
  <si>
    <t>0402  1%  165 OHM  RALEC</t>
  </si>
  <si>
    <t>CR02FL6165R</t>
  </si>
  <si>
    <t>0402  1%  165 OHM  VIKING</t>
  </si>
  <si>
    <t>WR04X1650FTL</t>
  </si>
  <si>
    <t>0402 1%  165 OHM  WTC</t>
  </si>
  <si>
    <t>RC0402FR07165RL</t>
  </si>
  <si>
    <t>0402 1%  165 OHM  YAGEO</t>
  </si>
  <si>
    <t>EC-10242A</t>
  </si>
  <si>
    <t>RTT022321FTH</t>
  </si>
  <si>
    <t>0402  1%  2.32K OHM  RALEC</t>
  </si>
  <si>
    <t>WR04X2321FTL</t>
  </si>
  <si>
    <t>0402  1%  2.32K OHM  WTC</t>
  </si>
  <si>
    <t>CR02FL62K32</t>
  </si>
  <si>
    <t>0402  1%  2.32K OHM  VIKING</t>
  </si>
  <si>
    <t>RC0402FR072K32L</t>
  </si>
  <si>
    <t>0402  1%  2.32K OHM  YAGEO</t>
  </si>
  <si>
    <t>EC-10245A</t>
  </si>
  <si>
    <t>RC0402FR0760R4L</t>
  </si>
  <si>
    <t>0402  1%  60.4 OHM  YAGEO</t>
  </si>
  <si>
    <t>WR04X60R4FTL</t>
  </si>
  <si>
    <t>0402  1%  60.4 OHM  WTC</t>
  </si>
  <si>
    <t>CR02FL660R4</t>
  </si>
  <si>
    <t>0402  1%  60.4 OHM  VIKING  CR-02FL6--60R4AC</t>
  </si>
  <si>
    <t>EC-10248A</t>
  </si>
  <si>
    <t>CR02JL610R</t>
  </si>
  <si>
    <t>0402  5%  10 OHM  VIKING</t>
  </si>
  <si>
    <t>WR04X100JTL</t>
  </si>
  <si>
    <t>0402  5%  10 OHM  WTC</t>
  </si>
  <si>
    <t>RC0402JR0710RL</t>
  </si>
  <si>
    <t>0402  5%  10 OHM  YAGEO</t>
  </si>
  <si>
    <t>EC-10249A</t>
  </si>
  <si>
    <t>CR02FL636K5</t>
  </si>
  <si>
    <t>0402  1%  36.5K OHM  VIKING  CR-02FL6--36K5AC</t>
  </si>
  <si>
    <t>RC0402FR0736K5L</t>
  </si>
  <si>
    <t>0402  1%  36.5K OHM  YAGEO</t>
  </si>
  <si>
    <t>EC-10252A</t>
  </si>
  <si>
    <t>RC0402FR071K78L</t>
  </si>
  <si>
    <t>0402  1%  1.78K OHM  YAGEO</t>
  </si>
  <si>
    <t>EC-10254A</t>
  </si>
  <si>
    <t>WR04X4992FTL</t>
  </si>
  <si>
    <t>0402  1%  49.9K OHM  WTC</t>
  </si>
  <si>
    <t>CR02FL649K9</t>
  </si>
  <si>
    <t>0402  1%  49.9K OHM  VIKING</t>
  </si>
  <si>
    <t>RC0402FR0749K9L</t>
  </si>
  <si>
    <t>0402  1%  49.9K OHM  YAGEO</t>
  </si>
  <si>
    <t>RTT024992FTH</t>
  </si>
  <si>
    <t>0402  1%  49.9K OHM  RALEC</t>
  </si>
  <si>
    <t>EC-10255A</t>
  </si>
  <si>
    <t>WR04X2801FTL</t>
  </si>
  <si>
    <t>0402  1%  2.8K OHM  WTC</t>
  </si>
  <si>
    <t>RC0402FR072K8L</t>
  </si>
  <si>
    <t>0402  1%  2.8K OHM  YAGEO</t>
  </si>
  <si>
    <t>CR02FL62K8</t>
  </si>
  <si>
    <t>0402  1%  2.8K OHM  VIKING</t>
  </si>
  <si>
    <t>EC-10256A</t>
  </si>
  <si>
    <t>RC0402FR074K42L</t>
  </si>
  <si>
    <t>0402  1%  4.42K OHM  YAGEO</t>
  </si>
  <si>
    <t>CR0402F4K42Q10</t>
  </si>
  <si>
    <t>0402  1%  4.42K OHM  EVER</t>
  </si>
  <si>
    <t>EC-10257A</t>
  </si>
  <si>
    <t>CR02FL6549K</t>
  </si>
  <si>
    <t>0402  1%  549K OHM  VIKING  CR-02FL6--549KAC</t>
  </si>
  <si>
    <t>RC0402FR07549KL</t>
  </si>
  <si>
    <t>0402  1%  549K OHM  YAGEO</t>
  </si>
  <si>
    <t>EC-10258A</t>
  </si>
  <si>
    <t>WR04X6042FTL</t>
  </si>
  <si>
    <t>0402  1%  60.4K OHM  WTC</t>
  </si>
  <si>
    <t>CR02FL660K4</t>
  </si>
  <si>
    <t>0402  1%  60.4K OHM  VIKING  CR-02FL6--60K4AC</t>
  </si>
  <si>
    <t>RC0402FR0760K4L</t>
  </si>
  <si>
    <t>0402  1%  60.4K OHM  YAGEO</t>
  </si>
  <si>
    <t>EC-10259A</t>
  </si>
  <si>
    <t>WR04X3162FTL</t>
  </si>
  <si>
    <t>0402  1%  31.6K OHM  WTC</t>
  </si>
  <si>
    <t>RC0402FR0731K6L</t>
  </si>
  <si>
    <t>0402  1%  31.6K OHM  YAGEO</t>
  </si>
  <si>
    <t>CR02FL631K6</t>
  </si>
  <si>
    <t>0402  1%  31.6K OHM  VIKING</t>
  </si>
  <si>
    <t>EC-10260A</t>
  </si>
  <si>
    <t>WR04X1501FTL</t>
  </si>
  <si>
    <t>0402  1%  1.5K OHM  WTC</t>
  </si>
  <si>
    <t>CR02FL61K5</t>
  </si>
  <si>
    <t>0402  1%  1.5K OHM  VIKING</t>
  </si>
  <si>
    <t>RC0402FR071K5L</t>
  </si>
  <si>
    <t>0402  1%  1.5K OHM  YAGEO</t>
  </si>
  <si>
    <t>EC-10261A</t>
  </si>
  <si>
    <t>FMF06FTHR005LH</t>
  </si>
  <si>
    <t>金屬合金微電阻 1206  1%  0.005 OHM  1W  EVER</t>
  </si>
  <si>
    <t>EC-10263A</t>
  </si>
  <si>
    <t>RTT029311FTH</t>
  </si>
  <si>
    <t>0402  1%  9.31K OHM  RALEC</t>
  </si>
  <si>
    <t>RC0402FR079K31L</t>
  </si>
  <si>
    <t>0402  1%  9.31K OHM  YAGEO</t>
  </si>
  <si>
    <t>CR02FL69K31</t>
  </si>
  <si>
    <t xml:space="preserve">0402  1%  9.31K OHM  VIKING  </t>
  </si>
  <si>
    <t>CR0402F9K31Q10</t>
  </si>
  <si>
    <t>0402  1%   9.31K  OHM  EVER</t>
  </si>
  <si>
    <t>EC-10264A</t>
  </si>
  <si>
    <t>WA04X390JTL</t>
  </si>
  <si>
    <t>SMD 排阻 0402*4-8P4R-5%-39R  WTC</t>
  </si>
  <si>
    <t>CRA024RJ39R0Q10Z</t>
  </si>
  <si>
    <t>SMD 排阻 0402*4-8P4R-5%-39R  EVER</t>
  </si>
  <si>
    <t>預估交期2026/7/7</t>
  </si>
  <si>
    <t>EC-10266A</t>
  </si>
  <si>
    <t>RC0402JR07220RL</t>
  </si>
  <si>
    <t>0402  5%  220 OHM  YAGEO</t>
  </si>
  <si>
    <t>WR04X221JTL</t>
  </si>
  <si>
    <t>0402  5%  220 OHM  WTC</t>
  </si>
  <si>
    <t>CR02JL06220R</t>
  </si>
  <si>
    <t>0402  5%  220 OHM  VIKING  CR-02JL6--220RAC</t>
  </si>
  <si>
    <t>EC-10267A</t>
  </si>
  <si>
    <t>WR04X2492FTL</t>
  </si>
  <si>
    <t>0402  1%  24.9K OHM  WTC</t>
  </si>
  <si>
    <t>RC0402FR0724K9L</t>
  </si>
  <si>
    <t>0402  1%  24.9K OHM  YAGEO</t>
  </si>
  <si>
    <t>EC-10268A</t>
  </si>
  <si>
    <t>WR04X1782FTL</t>
  </si>
  <si>
    <t>0402  1%  17.8K OHM  WTC</t>
  </si>
  <si>
    <t>CR02FL617K8</t>
  </si>
  <si>
    <t>0402  1%  17.8K OHM  VIKING</t>
  </si>
  <si>
    <t>RC0402FR0717K8L</t>
  </si>
  <si>
    <t>0402  1%  17.8K OHM  YAGEO</t>
  </si>
  <si>
    <t>RTT021782FTH</t>
  </si>
  <si>
    <t>0402  1%  17.8K OHM  RALEC</t>
  </si>
  <si>
    <t>EC-10269A</t>
  </si>
  <si>
    <t>CR02FL66K98</t>
  </si>
  <si>
    <t>0402  1%  6.98K OHM  VIKING  CR-02FL6--6K98AC</t>
  </si>
  <si>
    <t>WR04X6981FTL</t>
  </si>
  <si>
    <t>0402  1%  6.98K OHM  WTC</t>
  </si>
  <si>
    <t>RC0402FR076K98L</t>
  </si>
  <si>
    <t>0402  1%  6.98K OHM  YAGEO</t>
  </si>
  <si>
    <t>EC-10270A</t>
  </si>
  <si>
    <t>RC0402FR07953RL</t>
  </si>
  <si>
    <t>0402  1%  953 OHM  YAGEO</t>
  </si>
  <si>
    <t>EC-10272A</t>
  </si>
  <si>
    <t>RC0402FR07140RL</t>
  </si>
  <si>
    <t>0402  1%  140 OHM  YAGEO</t>
  </si>
  <si>
    <t>WR04X1400FTL</t>
  </si>
  <si>
    <t>0402  1%  140 OHM  WTC</t>
  </si>
  <si>
    <t>EC-10273A</t>
  </si>
  <si>
    <t>RC0402FR07191KL</t>
  </si>
  <si>
    <t>0402  1%  191K OHM  YAGEO</t>
  </si>
  <si>
    <t>EC-10274A</t>
  </si>
  <si>
    <t>RC0402FR0775RL</t>
  </si>
  <si>
    <t>0402  1%  75 OHM  YAGEO</t>
  </si>
  <si>
    <t>EC-10275A</t>
  </si>
  <si>
    <t>WR04X30R1FTL</t>
  </si>
  <si>
    <t>0402  1%  30.1 OHM  WTC</t>
  </si>
  <si>
    <t>RC0402FR0730R1L</t>
  </si>
  <si>
    <t>0402  1%  30.1 OHM  YAGEO</t>
  </si>
  <si>
    <t>EC-10276A</t>
  </si>
  <si>
    <t>CR02FL693K1</t>
  </si>
  <si>
    <t>0402  1%  93.1K  OHM  VIKING</t>
  </si>
  <si>
    <t>RC0402FR0793K1L</t>
  </si>
  <si>
    <t>0402  1%  93.1K OHM  YAGEO</t>
  </si>
  <si>
    <t>EC-10277A</t>
  </si>
  <si>
    <t>RC0402FR077K5L</t>
  </si>
  <si>
    <t>0402  1%  7.5K OHM  YAGEO</t>
  </si>
  <si>
    <t>WR04X7501FTL</t>
  </si>
  <si>
    <t>0402  1%  7.5K OHM  WTC</t>
  </si>
  <si>
    <t>EC-10278A</t>
  </si>
  <si>
    <t>LR12FTDRR001G</t>
  </si>
  <si>
    <t>2512  1%   0.001  OHM  VIKING  3W</t>
  </si>
  <si>
    <t>CSR2512C0R001F</t>
  </si>
  <si>
    <t>2512  1%  0.001 OHM   3W RIEDON</t>
  </si>
  <si>
    <t>EC-10281A</t>
  </si>
  <si>
    <t>CR1206FR250P05Z</t>
  </si>
  <si>
    <t>1206  1%  0.25 OHM  EVER</t>
  </si>
  <si>
    <t>EC-10282A</t>
  </si>
  <si>
    <t>RC0402FR071K15L</t>
  </si>
  <si>
    <t>0402  1%  1.15K OHM  YAGEO</t>
  </si>
  <si>
    <t>CR02FL61K15</t>
  </si>
  <si>
    <t>0402  1%  1.15K OHM  VIKING  CR-02FL6--1K15AC</t>
  </si>
  <si>
    <t>EC-10283A</t>
  </si>
  <si>
    <t>WR04X1132FTL</t>
  </si>
  <si>
    <t>0402 1%  11.3K OHM  WTC</t>
  </si>
  <si>
    <t>CR02FL611K3</t>
  </si>
  <si>
    <t>0402  1%  11.3K OHM  VIKING</t>
  </si>
  <si>
    <t>RC0402FR0711K3L</t>
  </si>
  <si>
    <t>0402  1%  11.3K OHM  YAGEO</t>
  </si>
  <si>
    <t>EC-10284A</t>
  </si>
  <si>
    <t>CR0603F2R21P05</t>
  </si>
  <si>
    <t>0603  1%  2.21 OHM  EVER</t>
  </si>
  <si>
    <t>CR03FL72R21</t>
  </si>
  <si>
    <t>0603  1%  2.21 OHM VIKING</t>
  </si>
  <si>
    <t>RC0603FR072R21L</t>
  </si>
  <si>
    <t>0603  1%  2.21 OHM  YAGEO</t>
  </si>
  <si>
    <t>EC-10285A</t>
  </si>
  <si>
    <t>WR04W2R49FTL</t>
  </si>
  <si>
    <t>0402  1%  2.49 OHM  WTC</t>
  </si>
  <si>
    <t>RC0402FR072K49L</t>
  </si>
  <si>
    <t>0402  1%  2.49K OHM  YAGEO</t>
  </si>
  <si>
    <t>EC-10286A</t>
  </si>
  <si>
    <t>RC0402FR0727K4L</t>
  </si>
  <si>
    <t>0402 1%  27.4K OHM  YAGEO</t>
  </si>
  <si>
    <t>EC-10287A</t>
  </si>
  <si>
    <t>CR0402F28K0Q10Z</t>
  </si>
  <si>
    <t>0402  1%  28K OHM  EVER</t>
  </si>
  <si>
    <t>RC0402FR0728KL</t>
  </si>
  <si>
    <t>0402  1%  28K OHM  YAGEO</t>
  </si>
  <si>
    <t>EC-10288A</t>
  </si>
  <si>
    <t>WR04X4702FTL</t>
  </si>
  <si>
    <t>0402  1%  47K OHM  WTC</t>
  </si>
  <si>
    <t>RC0402FR0734K8L</t>
  </si>
  <si>
    <t>0402  1%  34.8K OHM  YAGEO</t>
  </si>
  <si>
    <t>EC-10289A</t>
  </si>
  <si>
    <t>RC0402FR07357KL</t>
  </si>
  <si>
    <t>0402  1%  357K OHM  YAGEO</t>
  </si>
  <si>
    <t>CR02FL6357K</t>
  </si>
  <si>
    <t>0402  1%  357K OHM  VIKING</t>
  </si>
  <si>
    <t>EC-10290A</t>
  </si>
  <si>
    <t>CR02FL6374K</t>
  </si>
  <si>
    <t>0402  1%  374K OHM  VIKING</t>
  </si>
  <si>
    <t>RC0402FR07374KL</t>
  </si>
  <si>
    <t>0402  1%  374K OHM  YAGEO</t>
  </si>
  <si>
    <t>EC-10291A</t>
  </si>
  <si>
    <t>CR0402F4K53Q10Z</t>
  </si>
  <si>
    <t>0402  1%  4.53K OHM  EVER</t>
  </si>
  <si>
    <t>RC0402FR074K53L</t>
  </si>
  <si>
    <t>0402  1%  4.53K OHM  YAGEO</t>
  </si>
  <si>
    <t>EC-10292A</t>
  </si>
  <si>
    <t>RC0402FR0745K3L</t>
  </si>
  <si>
    <t>0402  1%  45.3K OHM  YAGEO</t>
  </si>
  <si>
    <t>EC-10293A</t>
  </si>
  <si>
    <t>RTT035111FTP</t>
  </si>
  <si>
    <t>0603  1%  5.11  OHM RALEC</t>
  </si>
  <si>
    <t>CR03FL75R11</t>
  </si>
  <si>
    <t>0603  1%  5.11  OHM  VIKING</t>
  </si>
  <si>
    <t>RC0603FR075R11L</t>
  </si>
  <si>
    <t>0603  1%  5.11 OHM  YAGEO</t>
  </si>
  <si>
    <t>RMCF0603FT5R11</t>
  </si>
  <si>
    <t>0603  1%  5.11 OHM  STACKPOLE</t>
  </si>
  <si>
    <t>EC-10294A</t>
  </si>
  <si>
    <t>WR04X51R1FTL</t>
  </si>
  <si>
    <t>0402  1%  51.1 OHM  WTC</t>
  </si>
  <si>
    <t>RC0402FR0751R1L</t>
  </si>
  <si>
    <t>0402  1%  51.1 OHM  YAGEO</t>
  </si>
  <si>
    <t>CR02FL651R1</t>
  </si>
  <si>
    <t>0402  1%  51.1 OHM  VIKING  CR-02FL6--51R1AC</t>
  </si>
  <si>
    <t>EC-10295A</t>
  </si>
  <si>
    <t>CR0402F59K0Q10Z</t>
  </si>
  <si>
    <t>0402  1%  59K OHM  EVER</t>
  </si>
  <si>
    <t>RC0402FR0759KL</t>
  </si>
  <si>
    <t>0402  1%  59K OHM  YAGEO</t>
  </si>
  <si>
    <t>EC-10296A</t>
  </si>
  <si>
    <t>CR02FL67K15</t>
  </si>
  <si>
    <t>0402  1%  7.15K OHM  VIKING</t>
  </si>
  <si>
    <t>RC0402FR077K15L</t>
  </si>
  <si>
    <t>0402  1%  7.15K OHM  YAGEO</t>
  </si>
  <si>
    <t>EC-10298A</t>
  </si>
  <si>
    <t>WR04X7871FTL</t>
  </si>
  <si>
    <t>0402  1%  7.87K OHM  WTC</t>
  </si>
  <si>
    <t>RC0402FR077K87L</t>
  </si>
  <si>
    <t>0402  1%  7.87K OHM  YAGEO</t>
  </si>
  <si>
    <t>EC-10299A</t>
  </si>
  <si>
    <t>CR0402F71K5Q10Z</t>
  </si>
  <si>
    <t>0402  1%  71.5K OHM  EVER</t>
  </si>
  <si>
    <t>RC0402FR0771K5L</t>
  </si>
  <si>
    <t>0402  1%  71.5K OHM  YAGEO</t>
  </si>
  <si>
    <t>EC-10300A</t>
  </si>
  <si>
    <t>RTT027322FTH</t>
  </si>
  <si>
    <t>0402  1%  73.2K OHM  RALEC</t>
  </si>
  <si>
    <t>RC0402FR0773K2L</t>
  </si>
  <si>
    <t>0402 1%  73.2K OHM  YAGEO</t>
  </si>
  <si>
    <t>WR04X7322FTL</t>
  </si>
  <si>
    <t>0402  1%  73.2K OHM  WTC</t>
  </si>
  <si>
    <t>EC-10301A</t>
  </si>
  <si>
    <t>RC0402FR07806RL</t>
  </si>
  <si>
    <t>0402  1%  806 OHM  YAGEO</t>
  </si>
  <si>
    <t>EC-10302A</t>
  </si>
  <si>
    <t>CR0402F86K6Q10Z</t>
  </si>
  <si>
    <t>0402  1%  86.6K OHM  EVER</t>
  </si>
  <si>
    <t>EC-10303A</t>
  </si>
  <si>
    <t>RC0402FR07909RL</t>
  </si>
  <si>
    <t>0402 1%  909 OHM  YAGEO</t>
  </si>
  <si>
    <t>WR04X9090FTL</t>
  </si>
  <si>
    <t>0402  1%  909 OHM  WTC</t>
  </si>
  <si>
    <t>EC-10304A</t>
  </si>
  <si>
    <t>RC0402FR0766K5L</t>
  </si>
  <si>
    <t>0402  1%  66.5K OHM  YAGEO</t>
  </si>
  <si>
    <t>EC-10305A</t>
  </si>
  <si>
    <t>CRH2512J100RE04Z</t>
  </si>
  <si>
    <t>2512  5%   100  OHM  2W  EVER</t>
  </si>
  <si>
    <t>EC-10306A</t>
  </si>
  <si>
    <t>CR0402F2K87Q10Z</t>
  </si>
  <si>
    <t>0402 1%  2.87K OHM  EVER</t>
  </si>
  <si>
    <t>RC0402FR072K87L</t>
  </si>
  <si>
    <t>0402  1%  2.87K OHM  YAGEO</t>
  </si>
  <si>
    <t>EC-10307A</t>
  </si>
  <si>
    <t>CR0402F22K1Q10Z</t>
  </si>
  <si>
    <t>0402  1%  22.1K OHM  EVER</t>
  </si>
  <si>
    <t>RC0402FR0722K1L</t>
  </si>
  <si>
    <t>0402  1%  22.1K OHM  YAGEO</t>
  </si>
  <si>
    <t>EC-10308A</t>
  </si>
  <si>
    <t>CR02JL6430R</t>
  </si>
  <si>
    <t>0402  5%  430 OHM  VIKING</t>
  </si>
  <si>
    <t>RC0402JR07430RL</t>
  </si>
  <si>
    <t>0402  5%  430 OHM  YAGEO</t>
  </si>
  <si>
    <t>EC-10309A</t>
  </si>
  <si>
    <t>RC0402JR07620RL</t>
  </si>
  <si>
    <t>0402  5%  620 OHM  YAGEO</t>
  </si>
  <si>
    <t>EC-10310A</t>
  </si>
  <si>
    <t>CR02FL6348R</t>
  </si>
  <si>
    <t>0402  1%  348 OHM  VIKING</t>
  </si>
  <si>
    <t>RC0402FR07348RL</t>
  </si>
  <si>
    <t>0402  1%  348 OHM  YAGEO</t>
  </si>
  <si>
    <t>EC-10312A</t>
  </si>
  <si>
    <t>VRGF063P1B103K</t>
  </si>
  <si>
    <t>可調電阻  GF-063P1-B-103K   10K  TOCOS</t>
  </si>
  <si>
    <t>EC-10313A</t>
  </si>
  <si>
    <t>CRH2512JR360E04Z</t>
  </si>
  <si>
    <t>2512  5%  0.36 OHM  2W  EVER</t>
  </si>
  <si>
    <t>EC-10314A</t>
  </si>
  <si>
    <t>CRH2512JR560E04Z</t>
  </si>
  <si>
    <t>2512  5%  0.56 OHM  2W  EVER</t>
  </si>
  <si>
    <t>EC-10315A</t>
  </si>
  <si>
    <t>CRH2512FR750E04Z</t>
  </si>
  <si>
    <t>2512  1%  0.75 OHM  2W  EVER</t>
  </si>
  <si>
    <t>EC-10316A</t>
  </si>
  <si>
    <t>CRH2512JR820E04Z</t>
  </si>
  <si>
    <t>2512  5%  0.82 OHM  2W  EVER</t>
  </si>
  <si>
    <t>EC-10317A</t>
  </si>
  <si>
    <t>CRH2512J22R0E04Z</t>
  </si>
  <si>
    <t>2512  5%  22 OHM  2W  EVER</t>
  </si>
  <si>
    <t>EC-10318A</t>
  </si>
  <si>
    <t>RC0402JR076R8L</t>
  </si>
  <si>
    <t>0402  5%  6.8 OHM  YAGEO</t>
  </si>
  <si>
    <t>CR02JL66R8</t>
  </si>
  <si>
    <t>0402  5%  6.8 OHM  VIKING  CR-02JL6---6R8AC</t>
  </si>
  <si>
    <t>EC-10319A</t>
  </si>
  <si>
    <t>WR12X102JTL</t>
  </si>
  <si>
    <t>1206  5%  1K OHM  WTC</t>
  </si>
  <si>
    <t>RC1206JR071KL</t>
  </si>
  <si>
    <t>1206  5%  1K OHM  YAGEO</t>
  </si>
  <si>
    <t>EC-10320A</t>
  </si>
  <si>
    <t>RC0402FR0733K2L</t>
  </si>
  <si>
    <t>0402  1%  33.2K OHM  YAGEO</t>
  </si>
  <si>
    <t>WR04X3322FTL</t>
  </si>
  <si>
    <t>0402  1%  33.2K OHM  WTC</t>
  </si>
  <si>
    <t>EC-10321A</t>
  </si>
  <si>
    <t>LR1206F0R009E041W
MA120610FR009FZ</t>
  </si>
  <si>
    <t>金屬合金微電阻 1206 1%  0.009  OHM  EVER  1W</t>
  </si>
  <si>
    <t>EC-10330A</t>
  </si>
  <si>
    <t>RC0402FR0715K8L</t>
  </si>
  <si>
    <t>0402  1%  15.8K OHM  YAGEO</t>
  </si>
  <si>
    <t>EC-10331A</t>
  </si>
  <si>
    <t>WR04X4993FTL</t>
  </si>
  <si>
    <t>0402  1%  499K OHM  WTC</t>
  </si>
  <si>
    <t>RC0402FR07499KL</t>
  </si>
  <si>
    <t>0402  1%  499K OHM  YAGEO</t>
  </si>
  <si>
    <t>CR02FL6499K</t>
  </si>
  <si>
    <t>0402  1%  499K OHM  VIKING</t>
  </si>
  <si>
    <t>EC-10332A</t>
  </si>
  <si>
    <t>RC0402FR0747KL</t>
  </si>
  <si>
    <t>0402  1%  47K OHM  YAGEO</t>
  </si>
  <si>
    <t>EC-10333A</t>
  </si>
  <si>
    <t>RC0402FR07165KL</t>
  </si>
  <si>
    <t>0402  1%  165K OHM  YAGEO</t>
  </si>
  <si>
    <t>WR04X1653FTL</t>
  </si>
  <si>
    <t>0402  1%  165K OHM  WTC</t>
  </si>
  <si>
    <t>CR02FL6165K</t>
  </si>
  <si>
    <t>0402  1%  165K OHM  VIKING</t>
  </si>
  <si>
    <t>EC-10334A</t>
  </si>
  <si>
    <t>WR04X1272FTL</t>
  </si>
  <si>
    <t>0402  1%  12.7K OHM  WTC</t>
  </si>
  <si>
    <t>RC0402FR0712K7L</t>
  </si>
  <si>
    <t>0402  1%  12.7K OHM  YAGEO</t>
  </si>
  <si>
    <t>EC-10335A</t>
  </si>
  <si>
    <t>WR04X1303FTL</t>
  </si>
  <si>
    <t>0402  1%  130K OHM  WTC</t>
  </si>
  <si>
    <t>RC0402FR07130KL</t>
  </si>
  <si>
    <t>0402  1%  130K OHM  YAGEO</t>
  </si>
  <si>
    <t>EC-10336A</t>
  </si>
  <si>
    <t>WR04X1333FTL</t>
  </si>
  <si>
    <t>0402  1%  133K OHM  WTC</t>
  </si>
  <si>
    <t>RC0402FR07133KL</t>
  </si>
  <si>
    <t>0402  1%  133K OHM  YAGEO</t>
  </si>
  <si>
    <t>CR02FL6133K</t>
  </si>
  <si>
    <t>0402  1%  133K OHM  VIKING  CR-02FL6--133KAC</t>
  </si>
  <si>
    <t>EC-10337A</t>
  </si>
  <si>
    <t>WR04X3092FTL</t>
  </si>
  <si>
    <t>0402  1%  30.9K OHM  WTC</t>
  </si>
  <si>
    <t>EC-10338A</t>
  </si>
  <si>
    <t>RC0402FR07383KL</t>
  </si>
  <si>
    <t>0402  1%  383K OHM  YAGEO</t>
  </si>
  <si>
    <t>CR02FL6383K</t>
  </si>
  <si>
    <t>0402  1%  383K OHM  VIKING</t>
  </si>
  <si>
    <t>WR04X3833FTL</t>
  </si>
  <si>
    <t>0402  1%  383K OHM  WTC</t>
  </si>
  <si>
    <t>EC-10339A</t>
  </si>
  <si>
    <t>WR04X4023FTL</t>
  </si>
  <si>
    <t>0402  1%  402K OHM  WTC</t>
  </si>
  <si>
    <t>RC0402FR07402KL</t>
  </si>
  <si>
    <t>0402  1%  402K OHM  YAGEO</t>
  </si>
  <si>
    <t>EC-10340A</t>
  </si>
  <si>
    <t>WR04X8251FTL</t>
  </si>
  <si>
    <t>0402  1%  8.25K OHM  WTC</t>
  </si>
  <si>
    <t>RC0402FR078K25L</t>
  </si>
  <si>
    <t>0402  1%  8.25K OHM  YAGEO</t>
  </si>
  <si>
    <t>CR02FL68K25</t>
  </si>
  <si>
    <t>0402  1%  8.25K OHM  VIKING  CR-02FL6--8K25AC</t>
  </si>
  <si>
    <t>EC-10341A</t>
  </si>
  <si>
    <t>RC0402JR0718KL</t>
  </si>
  <si>
    <t>0402  5%  18K OHM  YAGEO</t>
  </si>
  <si>
    <t>EC-10342A</t>
  </si>
  <si>
    <t>RC0402FR0769K8L</t>
  </si>
  <si>
    <t>0402  1%  69.8K OHM  YAGEO</t>
  </si>
  <si>
    <t>EC-10343A</t>
  </si>
  <si>
    <t>RC0402FR0717K4L</t>
  </si>
  <si>
    <t>0402  1%  17.4K OHM  YAGEO</t>
  </si>
  <si>
    <t>WR04X1742FTL</t>
  </si>
  <si>
    <t>0402  1%  17.4K OHM  WTC</t>
  </si>
  <si>
    <t>EC-10346A</t>
  </si>
  <si>
    <t>CR02JL62R2</t>
  </si>
  <si>
    <t>0402  5%  2.2 OHM  VIKING  CR-02JL6---2R2AC</t>
  </si>
  <si>
    <t>EC-10348A</t>
  </si>
  <si>
    <t>AR03BTD5000</t>
  </si>
  <si>
    <t>0603  0.1%  500 OHM  VIKING  50ppm</t>
  </si>
  <si>
    <t>EC-10349A</t>
  </si>
  <si>
    <t>WR04X6650FTL</t>
  </si>
  <si>
    <t>0402  1%  665 OHM  WTC</t>
  </si>
  <si>
    <t>RC0402FR07665RL</t>
  </si>
  <si>
    <t>0402  1%  665 OHM  YAGEO</t>
  </si>
  <si>
    <t>CR02FL6665R</t>
  </si>
  <si>
    <t>0402  1%  665 OHM  VIKING  CR-02FL6--665RAC</t>
  </si>
  <si>
    <t>EC-10351A</t>
  </si>
  <si>
    <t>YC124FR0735R7L</t>
  </si>
  <si>
    <t>SMD 排阻 0402*4-8P4R-1%-35.7R  YAGEO</t>
  </si>
  <si>
    <t>EC-10353A</t>
  </si>
  <si>
    <t>WR04X300JTL</t>
  </si>
  <si>
    <t>0402  5%  30 OHM  WTC</t>
  </si>
  <si>
    <t>RC0402JR0730RL</t>
  </si>
  <si>
    <t>0402  5%  30 OHM  YAGEO</t>
  </si>
  <si>
    <t>EC-10355A</t>
  </si>
  <si>
    <t>AC0402FR0744K2L</t>
  </si>
  <si>
    <t>0402  1%  44.2K OHM  YAGEO  (AEC-Q200)</t>
  </si>
  <si>
    <t>RC0402FR0744K2L</t>
  </si>
  <si>
    <t>0402  1%  44.2K OHM  YAGEO</t>
  </si>
  <si>
    <t>EC-10356A</t>
  </si>
  <si>
    <t>RC0402FR078K66L</t>
  </si>
  <si>
    <t>0402  1%  8.66K OHM  YAGEO</t>
  </si>
  <si>
    <t>EC-10357A</t>
  </si>
  <si>
    <t>RC0402FR0782R5L</t>
  </si>
  <si>
    <t>0402  1%  82.5 OHM  YAGEO</t>
  </si>
  <si>
    <t>EC-10358A</t>
  </si>
  <si>
    <t>CR12FL41R8</t>
  </si>
  <si>
    <t>2512  1%  1.8 OHM  VIKING  CR-12FL4---1R8AC</t>
  </si>
  <si>
    <t>RC2512FK071R8L</t>
  </si>
  <si>
    <t>2512  1%  1.8 OHM  YAGEO</t>
  </si>
  <si>
    <t>EC-10359A</t>
  </si>
  <si>
    <t>WR04X1542FTL</t>
  </si>
  <si>
    <t>RC0402FR0715K4L</t>
  </si>
  <si>
    <t>0402  1%  15.4K OHM  YAGEO</t>
  </si>
  <si>
    <t>AC0402FR0715K4L</t>
  </si>
  <si>
    <t>0402  1%  15.4K OHM  YAGEO  (AEC-Q200)</t>
  </si>
  <si>
    <t>EC-10360A</t>
  </si>
  <si>
    <t>RC0402FR0735R7L</t>
  </si>
  <si>
    <t>0402  1%  35.7 OHM  YAGEO</t>
  </si>
  <si>
    <t>EC-10361A</t>
  </si>
  <si>
    <t>WR04X7153FTL</t>
  </si>
  <si>
    <t>0402  1%  715K OHM  WTC</t>
  </si>
  <si>
    <t>RC0402FR07715KL</t>
  </si>
  <si>
    <t>0402  1%  715K OHM  YAGEO</t>
  </si>
  <si>
    <t>EC-10362A</t>
  </si>
  <si>
    <t>RC0402FR073K57L</t>
  </si>
  <si>
    <t>0402  1%  3.57K OHM  YAGEO</t>
  </si>
  <si>
    <t>EC-10363A</t>
  </si>
  <si>
    <t>RC0402FR07365RL</t>
  </si>
  <si>
    <t>0402  1%  365 OHM  YAGEO</t>
  </si>
  <si>
    <t>EC-10364A</t>
  </si>
  <si>
    <t>RC0402FR0747K5L</t>
  </si>
  <si>
    <t>0402  1%  47.5K OHM  YAGEO</t>
  </si>
  <si>
    <t>EC-10365A</t>
  </si>
  <si>
    <t>RC0402FR0751K1L</t>
  </si>
  <si>
    <t>0402  1%  51.1K OHM  YAGEO</t>
  </si>
  <si>
    <t>EC-10366A</t>
  </si>
  <si>
    <t>RC0402FR0756K2L</t>
  </si>
  <si>
    <t>0402  1%  56.2K OHM  YAGEO</t>
  </si>
  <si>
    <t>EC-10367A</t>
  </si>
  <si>
    <t>RC0402FR076K81L</t>
  </si>
  <si>
    <t>0402  1%  6.81K OHM  YAGEO</t>
  </si>
  <si>
    <t>EC-10368A</t>
  </si>
  <si>
    <t>WR04X1131FTL</t>
  </si>
  <si>
    <t>0402  1%  1.13K OHM  WTC</t>
  </si>
  <si>
    <t>RC0402FR071K13L</t>
  </si>
  <si>
    <t>0402  1%  1.13K OHM  YAGEO</t>
  </si>
  <si>
    <t>2024-10-09 客戶退回，不在使用此料</t>
  </si>
  <si>
    <t>EC-10369A</t>
  </si>
  <si>
    <t>WR04X1331FTL</t>
  </si>
  <si>
    <t>0402  1%  1.33K OHM  WTC</t>
  </si>
  <si>
    <t>RC0402FR071K33L</t>
  </si>
  <si>
    <t>0402  1%  1.33K OHM  YAGEO</t>
  </si>
  <si>
    <t>EC-10370A</t>
  </si>
  <si>
    <t>WR04X1053FTL</t>
  </si>
  <si>
    <t>0402  1%  105K OHM  WTC</t>
  </si>
  <si>
    <t>RC0402FR07105KL</t>
  </si>
  <si>
    <t>0402  1%  105K OHM  YAGEO</t>
  </si>
  <si>
    <t>EC-10371A</t>
  </si>
  <si>
    <t>WR04X1622FTL</t>
  </si>
  <si>
    <t>0402  1%  16.2K OHM  WTC</t>
  </si>
  <si>
    <t>RC0402FR0716K2L</t>
  </si>
  <si>
    <t>0402  1%  16.2K OHM  YAGEO</t>
  </si>
  <si>
    <t>EC-10372A</t>
  </si>
  <si>
    <t>WR04X1802FTL</t>
  </si>
  <si>
    <t>0402  1%  18K OHM  WTC</t>
  </si>
  <si>
    <t>RC0402FR0718KL</t>
  </si>
  <si>
    <t>0402  1%  18K OHM  YAGEO</t>
  </si>
  <si>
    <t>EC-10373A</t>
  </si>
  <si>
    <t>WR04X2152FTL</t>
  </si>
  <si>
    <t>0402  1%  21.5K OHM  WTC</t>
  </si>
  <si>
    <t>RC0402FR0721K5L</t>
  </si>
  <si>
    <t>0402  1%  21.5K OHM  YAGEO</t>
  </si>
  <si>
    <t>EC-10374A</t>
  </si>
  <si>
    <t>WR04X2372FTL</t>
  </si>
  <si>
    <t>0402  1%  23.7K OHM  WTC</t>
  </si>
  <si>
    <t>RC0402FR0723K7L</t>
  </si>
  <si>
    <t>0402  1%  23.7K OHM  YAGEO</t>
  </si>
  <si>
    <t>EC-10375A</t>
  </si>
  <si>
    <t>WR04X2612FTL</t>
  </si>
  <si>
    <t>0402  1%  26.1K OHM  WTC</t>
  </si>
  <si>
    <t>RC0402FR0726K1L</t>
  </si>
  <si>
    <t>0402  1%  26.1K OHM  YAGEO</t>
  </si>
  <si>
    <t>EC-10376A</t>
  </si>
  <si>
    <t>WR04X4020FTL</t>
  </si>
  <si>
    <t>0402  1%  402 OHM  WTC</t>
  </si>
  <si>
    <t>RC0402FR07402RL</t>
  </si>
  <si>
    <t>0402  1%  402 OHM  YAGEO</t>
  </si>
  <si>
    <t>EC-10377A</t>
  </si>
  <si>
    <t>RC0402FR0753K6L</t>
  </si>
  <si>
    <t>0402  1%  53.6K OHM  YAGEO</t>
  </si>
  <si>
    <t>EC-10378A</t>
  </si>
  <si>
    <t>RC0402FR079R09L</t>
  </si>
  <si>
    <t>0402  1%  9.09 OHM  YAGEO</t>
  </si>
  <si>
    <t>EC-10379A</t>
  </si>
  <si>
    <t>WR04X2431FTL</t>
  </si>
  <si>
    <t>0402  1%  2.43K OHM  WTC</t>
  </si>
  <si>
    <t>EC-10380A</t>
  </si>
  <si>
    <t>WR04X3321FTL</t>
  </si>
  <si>
    <t>0402  1%  3.32K OHM  WTC</t>
  </si>
  <si>
    <t>EC-10381A</t>
  </si>
  <si>
    <t>WR12X105JTL</t>
  </si>
  <si>
    <t>1206  5%  1M OHM  WTC</t>
  </si>
  <si>
    <t>EC-20006A</t>
  </si>
  <si>
    <t>0805B225K100CT</t>
  </si>
  <si>
    <t>MLCC 0805  2.2UF 10V X7R K  WTC</t>
  </si>
  <si>
    <t>CC0805KKX7R6BB225</t>
  </si>
  <si>
    <t>MLCC  0805  2.2UF  10V  X7R  K  YAGEO</t>
  </si>
  <si>
    <t>EC-20019A</t>
  </si>
  <si>
    <t>TAJB336K010RNJ</t>
  </si>
  <si>
    <t>33uF-10V-B Case-K%  AVX K%代</t>
  </si>
  <si>
    <t>EC-20022A</t>
  </si>
  <si>
    <t>CC0402KRX7R9BB102</t>
  </si>
  <si>
    <t>MLCC  0402  1000pF  50V  X7R  K  YAGEO</t>
  </si>
  <si>
    <t>0402B102K500CT</t>
  </si>
  <si>
    <t>MLCC  0402  1000pF  50V  X7R  K  WTC</t>
  </si>
  <si>
    <t>EC-20023A</t>
  </si>
  <si>
    <t>CL05B103KB5NNNC</t>
  </si>
  <si>
    <t>MLCC  0402  0.01UF  50V  X7R  K  SAMSUNG</t>
  </si>
  <si>
    <t>CC0402KRX7R9BB103</t>
  </si>
  <si>
    <t>MLCC  0402  0.01UF  50V  X7R  K  YAGEO</t>
  </si>
  <si>
    <t>0402B103K500CT</t>
  </si>
  <si>
    <t>MLCC  0402  0.01UF  50V  X7R  K  WTC</t>
  </si>
  <si>
    <t>EC-20024A</t>
  </si>
  <si>
    <t>0402B473K250CT</t>
  </si>
  <si>
    <t>MLCC  0402  0.047UF  25V  X7R  K  WTC</t>
  </si>
  <si>
    <t>CC0402KRX7R8BB473</t>
  </si>
  <si>
    <t>MLCC  0402  0.047UF  25V  X7R  K  YAGEO</t>
  </si>
  <si>
    <t>EC-20025A</t>
  </si>
  <si>
    <t>0402X104K250CT</t>
  </si>
  <si>
    <t>MLCC  0402  0.1UF  25V  X5R  K  WTC</t>
  </si>
  <si>
    <t>CC0402KRX5R8BB104</t>
  </si>
  <si>
    <t>MLCC  0402  0.1UF  25V  X5R  K  YAGEO</t>
  </si>
  <si>
    <t>CL05A104KA5NNNC</t>
  </si>
  <si>
    <t>MLCC  0402  0.1UF  25V  X5R  K  SAMSUNG</t>
  </si>
  <si>
    <t>EC-20027A</t>
  </si>
  <si>
    <t>TAJA106K010RNJ</t>
  </si>
  <si>
    <t>10uF-10V-A Case-K%  AVX</t>
  </si>
  <si>
    <t>EC-20029A</t>
  </si>
  <si>
    <t>0805B105K160CT</t>
  </si>
  <si>
    <t>MLCC  0805  1UF  16V  X7R  K  WTC</t>
  </si>
  <si>
    <t>CC0805KKX7R7BB105</t>
  </si>
  <si>
    <t>MLCC  0805  1UF  16V  X7R  K  YAGEO</t>
  </si>
  <si>
    <t>EC-20030A</t>
  </si>
  <si>
    <t>TAJA105K035RNJ</t>
  </si>
  <si>
    <t>1uF-35V-A Case-K%  AVX</t>
  </si>
  <si>
    <t>EC-20031A</t>
  </si>
  <si>
    <t>0402B271K500CT</t>
  </si>
  <si>
    <t>MLCC  0402  270pF  50V  X7R  K  WTC</t>
  </si>
  <si>
    <t>CC0402KRX7R9BB271</t>
  </si>
  <si>
    <t>MLCC  0402  270pF  50V  X7R  K  YAGEO</t>
  </si>
  <si>
    <t>EC-20034A</t>
  </si>
  <si>
    <t>0402B681K500CT</t>
  </si>
  <si>
    <t>MLCC  0402  680pF  50V  X7R  K  WTC</t>
  </si>
  <si>
    <t>CC0402KRX7R9BB681</t>
  </si>
  <si>
    <t>MLCC  0402  680pF  50V  X7R  K  YAGEO</t>
  </si>
  <si>
    <t>EC-20036A</t>
  </si>
  <si>
    <t>CC0402KRX7R7BB224</t>
  </si>
  <si>
    <t>MLCC  0402  0.22UF  16V  X7R  K  YAGEO</t>
  </si>
  <si>
    <t>0402B224K160CT</t>
  </si>
  <si>
    <t>MLCC  0402  0.22UF  16V  X7R  K  WTC</t>
  </si>
  <si>
    <t>EC-20037A</t>
  </si>
  <si>
    <t>0402N120J500CT</t>
  </si>
  <si>
    <t>MLCC  0402  12pF  50V  NPO  J  WTC</t>
  </si>
  <si>
    <t>CC0402JRNPO9BN120</t>
  </si>
  <si>
    <t>MLCC  0402  12pF  50V  NPO  J  YAGEO</t>
  </si>
  <si>
    <t>EC-20039A</t>
  </si>
  <si>
    <t>ECD220U25V0811J</t>
  </si>
  <si>
    <t>EC DIP 220uF-25V-8*11mm(LHK221M25VV811)</t>
  </si>
  <si>
    <t>EC-20047A</t>
  </si>
  <si>
    <t>TMK316BJ106KLT</t>
  </si>
  <si>
    <t>MLCC  1206  10UF  25V  X5R  K  TAIYO</t>
  </si>
  <si>
    <t>EC-20048A</t>
  </si>
  <si>
    <t>293D106X9025C2TE3</t>
  </si>
  <si>
    <t>10uF-25V-C Case-K%  VISHAY  SPRAGUE</t>
  </si>
  <si>
    <t>EC-20049A</t>
  </si>
  <si>
    <t>293D227X9010D2TE3</t>
  </si>
  <si>
    <t>220uF-10V-D Case-K%  VISHAY  SPRAGUE</t>
  </si>
  <si>
    <t>EC-20051A</t>
  </si>
  <si>
    <t>TAJA226K006RNJ</t>
  </si>
  <si>
    <t>22uF-6.3V-A Case-K%  AVX</t>
  </si>
  <si>
    <t>EC-20053A</t>
  </si>
  <si>
    <t>CC0402JRNPO9BN101</t>
  </si>
  <si>
    <t>MLCC  0402  100pF  50V  NPO  J  YAGEO</t>
  </si>
  <si>
    <t>0402N101J500CT</t>
  </si>
  <si>
    <t>MLCC  0402  100pF  50V  NPO  J  WTC</t>
  </si>
  <si>
    <t>EC-20057A</t>
  </si>
  <si>
    <t>0402N221J500CT</t>
  </si>
  <si>
    <t>MLCC  0402  220pF  50V  NPO  J  WTC</t>
  </si>
  <si>
    <t>CC0402JRNPO9BN221</t>
  </si>
  <si>
    <t>MLCC  0402  220pF  50V  NPO  J  YAGEO</t>
  </si>
  <si>
    <t>EC-20067A</t>
  </si>
  <si>
    <t>CC0402JRNPO9BN200</t>
  </si>
  <si>
    <t>MLCC 0402  20pF  50V NPO  J  YAGEO</t>
  </si>
  <si>
    <t>EC-20068A</t>
  </si>
  <si>
    <t>CC0402JRNPO9BN270</t>
  </si>
  <si>
    <t>MLCC 0402  27pF  50V NPO  J  YAGEO</t>
  </si>
  <si>
    <t>EC-20072A</t>
  </si>
  <si>
    <t>0402B272K500CT</t>
  </si>
  <si>
    <t>MLCC  0402  2700pF  50V  X7R  K  WTC</t>
  </si>
  <si>
    <t>CC0402KRX7R9BB272</t>
  </si>
  <si>
    <t>MLCC  0402  2700pF  50V  X7R  K  YAGEO</t>
  </si>
  <si>
    <t>EC-20073A</t>
  </si>
  <si>
    <t>JMK212BJ226MGT</t>
  </si>
  <si>
    <t>MLCC  0805  22UF  6.3V  X5R  M  TAIYO</t>
  </si>
  <si>
    <t>EC-20079A</t>
  </si>
  <si>
    <t>CC0402JRNPO9BN100</t>
  </si>
  <si>
    <t>MLCC  0402  10pF  50V  NPO  J  YAGEO</t>
  </si>
  <si>
    <t>EC-20080A</t>
  </si>
  <si>
    <t>JMK212BJ106KGT</t>
  </si>
  <si>
    <t>MLCC  0805  10UF  6.3V  X5R  K  TAIYO</t>
  </si>
  <si>
    <t>CC0805KKX5R5BB106</t>
  </si>
  <si>
    <t>MLCC  0805  10UF  6.3V  X5R  K  YAGEO</t>
  </si>
  <si>
    <t>0805X106K6R3CT</t>
  </si>
  <si>
    <t>MLCC  0805  10UF  6.3V  X5R  K  WTC</t>
  </si>
  <si>
    <t>EC-20084A</t>
  </si>
  <si>
    <t>0402X474K6R3CT</t>
  </si>
  <si>
    <t>MLCC  0402  0.47UF  6.3V  X5R  K  WTC</t>
  </si>
  <si>
    <t>CC0402KRX5R5BB474</t>
  </si>
  <si>
    <t>MLCC  0402  0.47UF  6.3V  X5R  K  YAGEO</t>
  </si>
  <si>
    <t>EC-20087A</t>
  </si>
  <si>
    <t>GRM188R60J106ME47D</t>
  </si>
  <si>
    <t>MLCC  0603  10UF  6.3V  X5R  M  MURATA</t>
  </si>
  <si>
    <t>0603X106M6R3CT</t>
  </si>
  <si>
    <t>MLCC  0603  10UF  6.3V  X5R  M  WTC</t>
  </si>
  <si>
    <t>CC0603MRX5R5BB106</t>
  </si>
  <si>
    <t>MLCC  0603  10UF  6.3V  X5R  M  YAGEO</t>
  </si>
  <si>
    <t>EC-20089A</t>
  </si>
  <si>
    <t>CC0402KRX7R9BB472</t>
  </si>
  <si>
    <t>MLCC  0402  4700pF  50V  X7R  K  YAGEO</t>
  </si>
  <si>
    <t>0402B472K500CT</t>
  </si>
  <si>
    <t>MLCC  0402  4700pF  50V  X7R  K  WTC</t>
  </si>
  <si>
    <t>EC-20090A</t>
  </si>
  <si>
    <t>GRM32ER60J107ME20L</t>
  </si>
  <si>
    <t>MLCC  1210  100UF  6.3V  X5R  M  MURATA</t>
  </si>
  <si>
    <t>EC-20095A</t>
  </si>
  <si>
    <t>CC0201KRX7R8BB102</t>
  </si>
  <si>
    <t>MLCC 0201 1000pF  25V  X7R  K  YAGEO</t>
  </si>
  <si>
    <t>0201B102K250CT</t>
  </si>
  <si>
    <t>MLCC  0201  1000pF  25V  X7R  K  WTC</t>
  </si>
  <si>
    <t>EC-20096A</t>
  </si>
  <si>
    <t>0201B103K160CT</t>
  </si>
  <si>
    <t>MLCC  0201  0.01UF  16V  X7R  K  WTC</t>
  </si>
  <si>
    <t>CC0201KRX7R7BB103</t>
  </si>
  <si>
    <t>MLCC  0201  0.01UF  16V  X7R  K  YAGEO</t>
  </si>
  <si>
    <t>EC-20097A</t>
  </si>
  <si>
    <t>0201X104K6R3CT</t>
  </si>
  <si>
    <t>MLCC  0201  0.1UF  6.3V  X5R  K  WTC</t>
  </si>
  <si>
    <t>CC0201KRX5R5BB104</t>
  </si>
  <si>
    <t>MLCC  0201  0.1UF  6.3V  X5R  K  YAGEO</t>
  </si>
  <si>
    <t>EC-20101A</t>
  </si>
  <si>
    <t>CC0402KRX7R9BB152</t>
  </si>
  <si>
    <t>MLCC  0402  1500pF  50V  X7R  K  YAGEO</t>
  </si>
  <si>
    <t>EC-20105A</t>
  </si>
  <si>
    <t>CC0402KRX7R9BB222</t>
  </si>
  <si>
    <t>MLCC  0402  2200pF  50V  X7R  K  YAGEO</t>
  </si>
  <si>
    <t>EC-20107A</t>
  </si>
  <si>
    <t>ECS47U50V6377SW</t>
  </si>
  <si>
    <t>EC SMD 47uF-50V-6.3*7.7mm 85度 SAMWHA (SC1H476M6L07KVR)</t>
  </si>
  <si>
    <t>EC-20110A</t>
  </si>
  <si>
    <t>0402B332K500CT</t>
  </si>
  <si>
    <t>MLCC  0402  3300pF  50V  X7R  K  WTC</t>
  </si>
  <si>
    <t>CC0402KRX7R9BB332</t>
  </si>
  <si>
    <t>MLCC  0402  3300pF  50V  X7R  K  YAGEO</t>
  </si>
  <si>
    <t>EC-20111A</t>
  </si>
  <si>
    <t>0402N150J500CT</t>
  </si>
  <si>
    <t>MLCC  0402  15pF  50V  NPO  J  WTC</t>
  </si>
  <si>
    <t>CC0402JRNPO9BN150</t>
  </si>
  <si>
    <t>MLCC  0402  15pF  50V  NPO  J  YAGEO</t>
  </si>
  <si>
    <t>EC-20112A</t>
  </si>
  <si>
    <t>CC0402KRX7R8BB223</t>
  </si>
  <si>
    <t>MLCC  0402  0.022UF  25V  X7R  K  YAGEO</t>
  </si>
  <si>
    <t>EC-20116A</t>
  </si>
  <si>
    <t>ECS10U25V0458HEN</t>
  </si>
  <si>
    <t>EC SMD 10uF-25V-4*5.8mm 105度   ELNA (RVZ-25V100MD61U-R)</t>
  </si>
  <si>
    <t>EC-20117A</t>
  </si>
  <si>
    <t>GRM155R71H104KE14D</t>
  </si>
  <si>
    <t>MLCC  0402  0.1UF  50V  X7R  K  MURATA</t>
  </si>
  <si>
    <t>400K-&gt;2026/10/20 ；200K待確認交期</t>
  </si>
  <si>
    <t>UMK105B7104KVFR</t>
  </si>
  <si>
    <t>MLCC  0402  0.1UF  50V  X7R  K  TAIYO</t>
  </si>
  <si>
    <t>EC-20119A</t>
  </si>
  <si>
    <t>JWK105C7104MPF</t>
  </si>
  <si>
    <t>MLCC 0204  0.1UF 6.3V X7S M  TAIYO</t>
  </si>
  <si>
    <t>EC-20120A</t>
  </si>
  <si>
    <t>C5750X7R1H106KT</t>
  </si>
  <si>
    <t>MLCC 2220  10UF  50V  X7R  K  TDK</t>
  </si>
  <si>
    <t>EC-20121A</t>
  </si>
  <si>
    <t>GRM31CR61E226KE15L</t>
  </si>
  <si>
    <t>MLCC  1206  22UF  25V  X5R  K  MURATA</t>
  </si>
  <si>
    <t>EC-20122A</t>
  </si>
  <si>
    <t>ECS330U10V0810HPA</t>
  </si>
  <si>
    <t>EC SMD 330uF-10V-8*10mm  105度  PANSONIC (10SVP330MX)</t>
  </si>
  <si>
    <t>EC-20123A</t>
  </si>
  <si>
    <t>ECS330U35V1010HMVYCM</t>
  </si>
  <si>
    <t>EC SMD 330uF-35V-10*10mm 105度  Chemi-con (EMVY350ARA331MJA0G) Low impedance (AEC-Q200)</t>
  </si>
  <si>
    <t>EC-20124A</t>
  </si>
  <si>
    <t>CC0402KRX7R9BB561</t>
  </si>
  <si>
    <t>MLCC  0402  560pF  50V  X7R  K  YAGEO</t>
  </si>
  <si>
    <t>0402B561K500CT</t>
  </si>
  <si>
    <t>MLCC  0402  560pF  50V  X7R  K  WTC</t>
  </si>
  <si>
    <t>EC-20125A</t>
  </si>
  <si>
    <t>0603B821K500CT</t>
  </si>
  <si>
    <t>MLCC  0603  820pF  50V  X7R  K  WTC</t>
  </si>
  <si>
    <t>CC0603KRX7R9BB821</t>
  </si>
  <si>
    <t>MLCC  0603  820pF  50V  X7R  K  YAGEO</t>
  </si>
  <si>
    <t>EC-20126A</t>
  </si>
  <si>
    <t>UMK107ABJ474KAT</t>
  </si>
  <si>
    <t>MLCC 0603  0.47UF  50V  X5R  K  TAIYO</t>
  </si>
  <si>
    <t>UMK107B7474KATR</t>
  </si>
  <si>
    <t>MLCC  0603  0.47UF  50V  X7R  K  TAIYO</t>
  </si>
  <si>
    <t>0603B474K500CT</t>
  </si>
  <si>
    <t>MLCC  0603  0.47UF  50V  X7R  K  WTC</t>
  </si>
  <si>
    <t>0603X474K500CT</t>
  </si>
  <si>
    <t>MLCC  0603  0.47UF  50V  X5R  K  WTC</t>
  </si>
  <si>
    <t>CC0603KRX5R9BB474</t>
  </si>
  <si>
    <t>MLCC  0603  0.47UF  50V  X5R  K  YAGEO</t>
  </si>
  <si>
    <t>EC-20127A</t>
  </si>
  <si>
    <t>CC0603KRX5R5BB475</t>
  </si>
  <si>
    <t>MLCC 0603  4.7UF  6.3V  X5R  K  YAGEO</t>
  </si>
  <si>
    <t xml:space="preserve">0603X475K6R3CT </t>
  </si>
  <si>
    <t>MLCC  0603  4.7UF  6.3V  X5R  K  WTC</t>
  </si>
  <si>
    <t>EC-20130A</t>
  </si>
  <si>
    <t>CC0402MRX5R5BB475</t>
  </si>
  <si>
    <t>MLCC  0402  4.7UF  6.3V  X5R  M  YAGEO</t>
  </si>
  <si>
    <t>0402X475M6R3CT</t>
  </si>
  <si>
    <t>MLCC  0402  4.7UF  6.3V  X5R  M  WTC</t>
  </si>
  <si>
    <t>CL05A475MQ5NRNC</t>
  </si>
  <si>
    <t>MLCC  0402  4.7UF  6.3V  X5R  M  SAMSUNG</t>
  </si>
  <si>
    <t>EC-20132A</t>
  </si>
  <si>
    <t>C2012X5R1C226KT</t>
  </si>
  <si>
    <t>MLCC  0805  22UF  16V  X5R  K  TDK</t>
  </si>
  <si>
    <t xml:space="preserve"> 2026-04-29 後續改為 2K/捲  排單22-24W</t>
  </si>
  <si>
    <t>C2012X5R1C226KT000E</t>
  </si>
  <si>
    <t>EC-20136A</t>
  </si>
  <si>
    <t>C0402B105K010T</t>
  </si>
  <si>
    <t>MLCC  0402  1UF  10V  X5R  K  HEC</t>
  </si>
  <si>
    <t>0402X105K100CT</t>
  </si>
  <si>
    <t>MLCC  0402  1UF  10V  X5R  K  WTC</t>
  </si>
  <si>
    <t>CC0402KRX5R6BB105</t>
  </si>
  <si>
    <t>MLCC  0402  1UF  10V  X5R  K  YAGEO</t>
  </si>
  <si>
    <t>EC-20137A</t>
  </si>
  <si>
    <t>GRM188R60G226MEA0D</t>
  </si>
  <si>
    <t>MLCC  0603  22UF  4V  X5R  M  MURATA</t>
  </si>
  <si>
    <t>EC-20138A</t>
  </si>
  <si>
    <t>0402N3R3C500CT</t>
  </si>
  <si>
    <t>MLCC  0402  3.3pF  50V  NPO  C  WTC</t>
  </si>
  <si>
    <t>CC0402CRNPO9BN3R3</t>
  </si>
  <si>
    <t>MLCC  0402  3.3pF  50V  NPO  C  YAGEO</t>
  </si>
  <si>
    <t>EC-20139A</t>
  </si>
  <si>
    <t>SOCAPSF160ETD471MHB5S</t>
  </si>
  <si>
    <t>固態電容  470UF-16V 8*11.5mm 編帶  APSF160ETD471MHB5S  CHEMI-CON</t>
  </si>
  <si>
    <t>EC-20141A</t>
  </si>
  <si>
    <t>GRM188R60J226MEA0D</t>
  </si>
  <si>
    <t>MLCC  0603  22UF  6.3V  X5R  M  MURATA</t>
  </si>
  <si>
    <t>EC-20144A</t>
  </si>
  <si>
    <t>CC0402KRX7R7BB153</t>
  </si>
  <si>
    <t>MLCC 0402  0.015UF  16V  X7R  K  YAGEO</t>
  </si>
  <si>
    <t>EC-20146A</t>
  </si>
  <si>
    <t>ECS100U6V30557HJ</t>
  </si>
  <si>
    <t>EC SMD 100uF-6.3V-5*5.7mm 105度 JACKCON (STR101M6.3C5.7B )</t>
  </si>
  <si>
    <t>EC-20147A</t>
  </si>
  <si>
    <t>0402B182K500CT</t>
  </si>
  <si>
    <t>MLCC  0402  1800pF  50V  X7R  K  WTC</t>
  </si>
  <si>
    <t>EC-20148A</t>
  </si>
  <si>
    <t>0402X225K6R3CT</t>
  </si>
  <si>
    <t>MLCC  0402  2.2UF  6.3V  X5R  K  WTC</t>
  </si>
  <si>
    <t>CC0402KRX5R5BB225</t>
  </si>
  <si>
    <t>MLCC  0402  2.2UF  6.3V  X5R  K  YAGEO</t>
  </si>
  <si>
    <t>EC-20150A</t>
  </si>
  <si>
    <t>0402N2R0B500CT</t>
  </si>
  <si>
    <t>MLCC  0402  2pF  50V  NPO  B  WTC</t>
  </si>
  <si>
    <t>CC0402BRNPO9BN2R0</t>
  </si>
  <si>
    <t>MLCC  0402  2pF  50V  NPO  B  YAGEO</t>
  </si>
  <si>
    <t>EC-20151A</t>
  </si>
  <si>
    <t>CC0402JRNPO9BN390</t>
  </si>
  <si>
    <t>MLCC  0402  39pF  50V  NPO  J  YAGEO</t>
  </si>
  <si>
    <t>0402N390J500CT</t>
  </si>
  <si>
    <t>MLCC  0402  39pF  50V  NPO  J  WTC</t>
  </si>
  <si>
    <t>EC-20152A</t>
  </si>
  <si>
    <t>0402B471K500CT</t>
  </si>
  <si>
    <t>MLCC  0402  470pF  50V  X7R  K  WTC</t>
  </si>
  <si>
    <t>EC-20153A</t>
  </si>
  <si>
    <t>0805X476M6R3CT</t>
  </si>
  <si>
    <t>MLCC  0805  47UF  6.3V  X5R  M  WTC</t>
  </si>
  <si>
    <t>CC0805MKX5R5BB476</t>
  </si>
  <si>
    <t>MLCC  0805  47UF  6.3V  X5R  M  YAGEO</t>
  </si>
  <si>
    <t>EC-20154A</t>
  </si>
  <si>
    <t>0402N5R0C500CT</t>
  </si>
  <si>
    <t>MLCC  0402  5pF  50V  NPO  C  WTC</t>
  </si>
  <si>
    <t>CC0402CRNPO9BN5R0</t>
  </si>
  <si>
    <t>MLCC  0402  5pF  50V  NPO  C  YAGEO</t>
  </si>
  <si>
    <t>EC-20156A</t>
  </si>
  <si>
    <t>0402N201J500CT</t>
  </si>
  <si>
    <t>MLCC  0402  200pF  50V  NPO  J  WTC</t>
  </si>
  <si>
    <t>EC-20157A</t>
  </si>
  <si>
    <t>0603X475K100CT</t>
  </si>
  <si>
    <t>MLCC  0603  4.7UF  10V  X5R  K  WTC</t>
  </si>
  <si>
    <t>CC0603KRX5R6BB475</t>
  </si>
  <si>
    <t>MLCC  0603  4.7UF  10V  X5R  K  YAGEO</t>
  </si>
  <si>
    <t>EC-20158A</t>
  </si>
  <si>
    <t>GRM2195C1H752JA01D</t>
  </si>
  <si>
    <t>MLCC  0805  7500pF  50V  NPO  J  MURATA</t>
  </si>
  <si>
    <t>EC-20160A</t>
  </si>
  <si>
    <t>GRM155R6YA105KE11D</t>
  </si>
  <si>
    <t>MLCC  0402  1uF  35V  X5R  K  MURATA</t>
  </si>
  <si>
    <t>EC-20161A</t>
  </si>
  <si>
    <t>GRM1555C1H2R9WA01D</t>
  </si>
  <si>
    <t>MLCC  0402  2.9pF  50V  NPO  W  MURATA</t>
  </si>
  <si>
    <t>EC-20162A</t>
  </si>
  <si>
    <t>0402N3R0B500CT</t>
  </si>
  <si>
    <t>MLCC  0402  3pF  50V  NPO  B  WTC</t>
  </si>
  <si>
    <t>GRM1555C1H3R0BA01J</t>
  </si>
  <si>
    <t>MLCC  0402  3pF  50V  NPO  B  MURATA</t>
  </si>
  <si>
    <t>CL05C030BB5NNNC</t>
  </si>
  <si>
    <t>MLCC  0402  3pF  50V  NPO  B  SAMSUNG</t>
  </si>
  <si>
    <t>EC-20163A</t>
  </si>
  <si>
    <t>GRM1555C1H3R5CA01D</t>
  </si>
  <si>
    <t>MLCC  0402  3.5pF  50V  NPO  C  MURATA</t>
  </si>
  <si>
    <t>CC0402CRNPO9BN3R5</t>
  </si>
  <si>
    <t>MLCC  0402  3.5pF  50V  NPO  C  YAGEO</t>
  </si>
  <si>
    <t>GRM1555C1E3R5BA01D</t>
  </si>
  <si>
    <t>MLCC  0402  3.5pF  25V  NPO  B  MURATA</t>
  </si>
  <si>
    <t>EC-20164A</t>
  </si>
  <si>
    <t>GRM188R6YA475KE15D</t>
  </si>
  <si>
    <t>MLCC  0603  4.7UF  35V  X5R  K  MURATA</t>
  </si>
  <si>
    <t>EC-20165A</t>
  </si>
  <si>
    <t>ECS470U25V08102HPA</t>
  </si>
  <si>
    <t>EC SMD  470uF-25V-8*10.2mm 105度  PANSONIC (EEE-FT1E471AP)</t>
  </si>
  <si>
    <t>EC-20166A</t>
  </si>
  <si>
    <t>ECS330U16V6358HPA</t>
  </si>
  <si>
    <t>EC SMD 330uF-16V-6.3*7.7mm 105度 PANSONIC (EEE-FTC331XAP)</t>
  </si>
  <si>
    <t>EC-20167A</t>
  </si>
  <si>
    <t>GRM033R61A105ME15D</t>
  </si>
  <si>
    <t>MLCC  0201  1UF  10V  X5R  M  MURATA</t>
  </si>
  <si>
    <t>EC-20169A</t>
  </si>
  <si>
    <t>0402B391K500CT</t>
  </si>
  <si>
    <t>MLCC  0402  390pF  50V  X7R  K  WTC</t>
  </si>
  <si>
    <t>CC0402KRX7R9BB391</t>
  </si>
  <si>
    <t>MLCC  0402  390pF  50V  X7R  K  YAGEO</t>
  </si>
  <si>
    <t>EC-20171A</t>
  </si>
  <si>
    <t>GRM31CR61E476ME44L</t>
  </si>
  <si>
    <t>MLCC  1206  47UF  25V  X5R  M  MURATA</t>
  </si>
  <si>
    <t>2019-12-06 取消此顆 客戶改客供料</t>
  </si>
  <si>
    <t>EC-20173A</t>
  </si>
  <si>
    <t>LLL153C80G105ME21D</t>
  </si>
  <si>
    <t>MLCC  0204  1UF  4V  X6S  M  MURATA</t>
  </si>
  <si>
    <t>EC-20174A</t>
  </si>
  <si>
    <t>UMK316BBJ106KLT</t>
  </si>
  <si>
    <t>MLCC  1206  10UF  50V  X5R  K  TAIYO</t>
  </si>
  <si>
    <t>EC-20176A</t>
  </si>
  <si>
    <t>ECS100U35V6358HRVDEN</t>
  </si>
  <si>
    <t>EC SMD 100uF-35V-6.3*5.8mm 105度  ELNA (RZD-35V101MF61U-R)</t>
  </si>
  <si>
    <t>EC-20179A</t>
  </si>
  <si>
    <t>CC0402JRNPO9BN330</t>
  </si>
  <si>
    <t>MLCC  0402  33pF  50V  NPO  J  YAGEO</t>
  </si>
  <si>
    <t>EC-20180A</t>
  </si>
  <si>
    <t>CC0402KRX7R9BB751</t>
  </si>
  <si>
    <t>MLCC  0402  750pF  50V  X7R  K  YAGEO</t>
  </si>
  <si>
    <t>EC-20181A</t>
  </si>
  <si>
    <t>CC0402DRNPO9BN9R1</t>
  </si>
  <si>
    <t>MLCC  0402  9.1pF  50V  NPO  J  YAGEO</t>
  </si>
  <si>
    <t>EC-20182A</t>
  </si>
  <si>
    <t>GRM1555C1H911JA01D</t>
  </si>
  <si>
    <t>MLCC 0402  910pF  50V  NPO  J  MURATA</t>
  </si>
  <si>
    <t>EC-20183A</t>
  </si>
  <si>
    <t>CC1206KKX7R9BB105</t>
  </si>
  <si>
    <t>MLCC  1206  1UF  50V  X7R  K  YAGEO</t>
  </si>
  <si>
    <t>EC-20184A</t>
  </si>
  <si>
    <t>0402B331K500CT</t>
  </si>
  <si>
    <t>MLCC  0402  330pF  50V  X7R  K  WTC</t>
  </si>
  <si>
    <t>CC0402KRX7R9BB331</t>
  </si>
  <si>
    <t>MLCC  0402  330pF  50V  X7R  K  YAGEO</t>
  </si>
  <si>
    <t>EC-20187A</t>
  </si>
  <si>
    <t>0402N6R8D500CT</t>
  </si>
  <si>
    <t>MLCC  0402  6.8pF  50V  NPO  D  WTC</t>
  </si>
  <si>
    <t>CC0402DRNPO9BN6R8</t>
  </si>
  <si>
    <t>MLCC  0402  6.8pF  50V  NPO  D  YAGEO</t>
  </si>
  <si>
    <t>EC-20188A</t>
  </si>
  <si>
    <t>0402B822K500CT</t>
  </si>
  <si>
    <t>MLCC  0402  8200pF  50V  X7R  K  WTC</t>
  </si>
  <si>
    <t>CC0402KRX7R9BB822</t>
  </si>
  <si>
    <t>MLCC  0402  8200pF  50V  X7R  K  YAGEO</t>
  </si>
  <si>
    <t>EC-20189A</t>
  </si>
  <si>
    <t>C2012X5R1V226MT</t>
  </si>
  <si>
    <t>MLCC  0805  22UF  35V  X5R  M  TDK</t>
  </si>
  <si>
    <t>EC-20191A</t>
  </si>
  <si>
    <t>1808N3R9C202CT</t>
  </si>
  <si>
    <t>MLCC  1808  3.9pF  2KV  NPO  C  WTC</t>
  </si>
  <si>
    <t>EC-20192A</t>
  </si>
  <si>
    <t>1206N150K202CT</t>
  </si>
  <si>
    <t>MLCC  1206  15pF  2KV  NPO  K  WTC</t>
  </si>
  <si>
    <t>此料號  非必要不使用 Yageo CC1206JKNPODBN150</t>
  </si>
  <si>
    <t>EC-20193A</t>
  </si>
  <si>
    <t>0603N220K251CT</t>
  </si>
  <si>
    <t>MLCC  0603  22pF  250V  NPO  K  WTC</t>
  </si>
  <si>
    <t>EC-20194A</t>
  </si>
  <si>
    <t>CC0402JRX7R9BB472</t>
  </si>
  <si>
    <t>MLCC  0402  4700pF  50V  X7R  J  YAGEO</t>
  </si>
  <si>
    <t>0402B472J500CT</t>
  </si>
  <si>
    <t>MLCC  0402  4700pF  50V  X7R  J  WTC</t>
  </si>
  <si>
    <t>EC-20195A</t>
  </si>
  <si>
    <t>0402N1R5C500CT</t>
  </si>
  <si>
    <t>MLCC  0402  1.5pF  50V  NPO  C  WTC</t>
  </si>
  <si>
    <t>EC-20196A</t>
  </si>
  <si>
    <t>1206B103K251CT</t>
  </si>
  <si>
    <t>MLCC  1206  0.01UF  250V  X7R  K  WTC</t>
  </si>
  <si>
    <t>EC-30001A</t>
  </si>
  <si>
    <t>IBSBK160808T102YN</t>
  </si>
  <si>
    <t>電感 SBK160808T-102Y-N(0603 1000Ω)</t>
  </si>
  <si>
    <t>EC-30002A</t>
  </si>
  <si>
    <t>IBPBY160808T471YN</t>
  </si>
  <si>
    <t>電感 PBY160808T-471Y-N  (0603 470Ω)</t>
  </si>
  <si>
    <t>EC-30004A</t>
  </si>
  <si>
    <t>IBJCB321611A5006</t>
  </si>
  <si>
    <t>電感 JCB321611A-500-6(1206 50Ω 6A)</t>
  </si>
  <si>
    <t>EC-30005A</t>
  </si>
  <si>
    <t>IDSRI1205150MCO</t>
  </si>
  <si>
    <t>電感 IDSRI1205-150MCO (15uH)</t>
  </si>
  <si>
    <t>EC-30008A</t>
  </si>
  <si>
    <t>IBBU12B591S70R</t>
  </si>
  <si>
    <t>電感 BU12B591S-70R (1812  70Ω)</t>
  </si>
  <si>
    <t>EC-30009A</t>
  </si>
  <si>
    <t>IBPBY160808T102YN</t>
  </si>
  <si>
    <t>電感 PBY160808T-102Y-N  (0603 1000Ω)</t>
  </si>
  <si>
    <t>EC-30022A</t>
  </si>
  <si>
    <t>IDSRI0603B470MCO</t>
  </si>
  <si>
    <t>電感 IDSRI0603-470MCO (47uH)</t>
  </si>
  <si>
    <t>EC-30027A</t>
  </si>
  <si>
    <t>IDSRI0603B4R7MCO</t>
  </si>
  <si>
    <t>電感 IDSRI0603-4R7MCO (4.7uH)</t>
  </si>
  <si>
    <t>EC-30028A</t>
  </si>
  <si>
    <t>IBPBY201209T600YN</t>
  </si>
  <si>
    <t>電感 PBY201209T-600Y-N   (0805 60Ω)</t>
  </si>
  <si>
    <t>EC-30036A</t>
  </si>
  <si>
    <t>IDSRI0704100KCO</t>
  </si>
  <si>
    <t>電感 IDSRI0704-100KCO (10uH)</t>
  </si>
  <si>
    <t>EC-30038A</t>
  </si>
  <si>
    <t>IBPBY100505T121YN</t>
  </si>
  <si>
    <t>電感 PBY100505T-121Y-N (0402 120Ω)</t>
  </si>
  <si>
    <t>EC-30039A</t>
  </si>
  <si>
    <t>IDCLH1005T15NJS</t>
  </si>
  <si>
    <t>電感 CLH1005T-15NJ-S (0402 15nH)</t>
  </si>
  <si>
    <t>EC-30041A</t>
  </si>
  <si>
    <t>IDCLH1005T22NJS</t>
  </si>
  <si>
    <t>電感 CLH1005T-22NJ-S (0402 22nH)</t>
  </si>
  <si>
    <t>EC-30046A</t>
  </si>
  <si>
    <t>IDJRPI0603M2R2MJT</t>
  </si>
  <si>
    <t>電感 JRPI0603M-2R2M (2.2uH)</t>
  </si>
  <si>
    <t>EC-30047A</t>
  </si>
  <si>
    <t>IDSMPI10045330MCO</t>
  </si>
  <si>
    <t>電感 IDSMPI10045-330MCO (33uH)</t>
  </si>
  <si>
    <t>EC-30050A</t>
  </si>
  <si>
    <t xml:space="preserve"> IDSRI0603B2R2MCO</t>
  </si>
  <si>
    <t>電感 IDSRI0603-2R2MCO (2.2uH)</t>
  </si>
  <si>
    <t>EC-30064A</t>
  </si>
  <si>
    <t>IBBLM15HD182SN1D</t>
  </si>
  <si>
    <t>電感 BLM15HD182SN1D (0402  1800Ω ±25% )  MURATA</t>
  </si>
  <si>
    <t>EC-30065A</t>
  </si>
  <si>
    <t>IDGSAM181227NK01</t>
  </si>
  <si>
    <t>空芯線圈電感 GSAM1812-27NK01 (27nH ±10%)</t>
  </si>
  <si>
    <t>EC-40003A</t>
  </si>
  <si>
    <t>ICMMBT2222ALT1GON</t>
  </si>
  <si>
    <t>MMBT2222ALT1G   SOT-23  ON</t>
  </si>
  <si>
    <t>EC-40004A</t>
  </si>
  <si>
    <t>ICMMBT3906HFCC</t>
  </si>
  <si>
    <t>MMBT3906-HF    SOT-23   COMCHIP</t>
  </si>
  <si>
    <t>EC-40005A</t>
  </si>
  <si>
    <t>IC2N70027FDIODES</t>
  </si>
  <si>
    <t>MOSFET  2N7002-7-F  SOT-23  DIODES</t>
  </si>
  <si>
    <t>EC-40020A</t>
  </si>
  <si>
    <t>ICUT3N06GAE3RUTC</t>
  </si>
  <si>
    <t>UT3N06G-AE3-R SOT-23 UTC</t>
  </si>
  <si>
    <t>ICCES2362CET</t>
  </si>
  <si>
    <t>電晶體 CES2362  SOT-23  CET</t>
  </si>
  <si>
    <t>後續改UT3N06G-AE3-R  SOT-23  UTC</t>
  </si>
  <si>
    <t>EC-40025A</t>
  </si>
  <si>
    <t>ICCEU6185CET</t>
  </si>
  <si>
    <t>電晶體  CEU6185  TO-252(D-PAK)  CET</t>
  </si>
  <si>
    <t>EC-50005A</t>
  </si>
  <si>
    <t>DSBAT54APJ</t>
  </si>
  <si>
    <t>SCHOTTKY  BAT54A  0.2A 30V  SOT-23  PANJIT</t>
  </si>
  <si>
    <t>EC-50019A</t>
  </si>
  <si>
    <t>ZDSMMBZ5222BLT1GON</t>
  </si>
  <si>
    <t>穩壓二極管 MMBZ5222BLT1G  225mW  2.5V 5%   SOT-23  ON</t>
  </si>
  <si>
    <t>EC-50020A</t>
  </si>
  <si>
    <t>DSBAV99PJ</t>
  </si>
  <si>
    <t>二極體  BAV99  SOT-23  PANJIT</t>
  </si>
  <si>
    <t>EC-50021A</t>
  </si>
  <si>
    <t>DSCPDA10R5V0SPHFCC</t>
  </si>
  <si>
    <t>ESD靜電保護二極體 CPDA10R5V0SP-HF  5V 3A  DFN10P  COMCHIP</t>
  </si>
  <si>
    <t>EC-50022A</t>
  </si>
  <si>
    <t>DSPMEG4010EJ115NEXPERIA</t>
  </si>
  <si>
    <t>蕭特基 整流器  PMEG4010EJ,115  1A 40V  SC-90 (SOD-323F)  NEXPERIA</t>
  </si>
  <si>
    <t>EC-51001A</t>
  </si>
  <si>
    <t>TVSSMDJ5.0AYAGEO</t>
  </si>
  <si>
    <t>TVS  SMDJ5.0A  DO-214AB  單向  5V  3000W  YAGEO / BRIGHTKING</t>
  </si>
  <si>
    <t>EC-60022A</t>
  </si>
  <si>
    <t>OSC32K76870503V350S4PADT485</t>
  </si>
  <si>
    <t>OSC 4PAD  32.768KHz  SMD 7.0*5.0  3.3V  50ppm  O/T:-40℃~+85℃</t>
  </si>
  <si>
    <t>EC-60042A</t>
  </si>
  <si>
    <t>OSC50M32253V6350S4PADT485</t>
  </si>
  <si>
    <t>OSC 4PAD  50MHz  SMD 3.2*2.5  2.25~3.63V  50ppm  O/T:-40℃~+85℃</t>
  </si>
  <si>
    <t>EC-70008A</t>
  </si>
  <si>
    <t>221KD10J</t>
  </si>
  <si>
    <t>突波吸收器  220V  10ψ  P:7.5mm  高浪湧型  YAGEO / BRIGHTKING  221KD10J</t>
  </si>
  <si>
    <t>IC-AP7381-33Y</t>
  </si>
  <si>
    <t>ICAP738133Y13DIODES</t>
  </si>
  <si>
    <t>AP7381-33Y-13  SOT-89  DIODES</t>
  </si>
  <si>
    <t>IC-LM431SCCM32X</t>
  </si>
  <si>
    <t>ICLM431SCCM32XON</t>
  </si>
  <si>
    <t>LM431SCCM32X  SOT-23 3L  ON</t>
  </si>
  <si>
    <t>OC-10846B</t>
  </si>
  <si>
    <t>BULFKB15B075A</t>
  </si>
  <si>
    <t>Buzzer-LF-KB15B075A</t>
  </si>
  <si>
    <t>SPKAKB1508AP</t>
  </si>
  <si>
    <t>揚聲器 AKB-1508A-P</t>
  </si>
  <si>
    <t>OC-10953B</t>
  </si>
  <si>
    <t>GDT2RP090M8SYAGEO</t>
  </si>
  <si>
    <t>氣體放電管  2RP090M-8-S  90V 20KA SMD  YAGEO / BRIGHTKING</t>
  </si>
  <si>
    <t>OC-80008B</t>
  </si>
  <si>
    <t>BAHGS028L02122AHY</t>
  </si>
  <si>
    <t>電池座 GS028L-0212-2A</t>
  </si>
  <si>
    <t>OC-80010B</t>
  </si>
  <si>
    <t>BACR2450G1ANPA</t>
  </si>
  <si>
    <t>BATTERY CR2450G1AN  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</si>
</sst>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7" x14ac:knownFonts="1">
    <font>
      <sz val="11"/>
      <color theme="1"/>
      <name val="新細明體"/>
      <family val="2"/>
      <scheme val="minor"/>
    </font>
    <font>
      <sz val="14"/>
      <color indexed="8"/>
      <name val="Arial"/>
      <family val="2"/>
    </font>
    <font>
      <sz val="14"/>
      <color indexed="8"/>
      <name val="標楷體"/>
      <family val="4"/>
      <charset val="136"/>
    </font>
    <font>
      <sz val="14"/>
      <color rgb="FF000000"/>
      <name val="Arial"/>
      <family val="2"/>
    </font>
    <font>
      <b/>
      <sz val="14"/>
      <color indexed="8"/>
      <name val="Arial"/>
      <family val="2"/>
    </font>
    <font>
      <sz val="14"/>
      <color rgb="FF333333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7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.75" x14ac:dyDescent="0.25"/>
  <cols>
    <col min="1" max="1" width="36.7109375" customWidth="1"/>
    <col min="2" max="2" width="48.140625" customWidth="1"/>
    <col min="3" max="3" width="69.28515625" customWidth="1"/>
    <col min="4" max="5" width="17.85546875" customWidth="1"/>
    <col min="6" max="6" width="11.5703125" customWidth="1"/>
    <col min="7" max="7" width="51" customWidth="1"/>
    <col min="8" max="8" width="24.42578125" customWidth="1"/>
    <col min="9" max="9" width="9.140625" customWidth="1"/>
    <col min="255" max="255" width="24.28515625" customWidth="1"/>
    <col min="256" max="256" width="25.7109375" customWidth="1"/>
    <col min="257" max="257" width="37.140625" customWidth="1"/>
    <col min="258" max="258" width="61.7109375" customWidth="1"/>
    <col min="259" max="259" width="14" customWidth="1"/>
    <col min="260" max="260" width="17.85546875" customWidth="1"/>
    <col min="261" max="261" width="39.85546875" customWidth="1"/>
    <col min="262" max="262" width="13.85546875" customWidth="1"/>
    <col min="263" max="263" width="32.42578125" customWidth="1"/>
    <col min="264" max="264" width="9.140625" customWidth="1"/>
    <col min="511" max="511" width="24.28515625" customWidth="1"/>
    <col min="512" max="512" width="25.7109375" customWidth="1"/>
    <col min="513" max="513" width="37.140625" customWidth="1"/>
    <col min="514" max="514" width="61.7109375" customWidth="1"/>
    <col min="515" max="515" width="14" customWidth="1"/>
    <col min="516" max="516" width="17.85546875" customWidth="1"/>
    <col min="517" max="517" width="39.85546875" customWidth="1"/>
    <col min="518" max="518" width="13.85546875" customWidth="1"/>
    <col min="519" max="519" width="32.42578125" customWidth="1"/>
    <col min="520" max="520" width="9.140625" customWidth="1"/>
    <col min="767" max="767" width="24.28515625" customWidth="1"/>
    <col min="768" max="768" width="25.7109375" customWidth="1"/>
    <col min="769" max="769" width="37.140625" customWidth="1"/>
    <col min="770" max="770" width="61.7109375" customWidth="1"/>
    <col min="771" max="771" width="14" customWidth="1"/>
    <col min="772" max="772" width="17.85546875" customWidth="1"/>
    <col min="773" max="773" width="39.85546875" customWidth="1"/>
    <col min="774" max="774" width="13.85546875" customWidth="1"/>
    <col min="775" max="775" width="32.42578125" customWidth="1"/>
    <col min="776" max="776" width="9.140625" customWidth="1"/>
    <col min="1023" max="1023" width="24.28515625" customWidth="1"/>
    <col min="1024" max="1024" width="25.7109375" customWidth="1"/>
    <col min="1025" max="1025" width="37.140625" customWidth="1"/>
    <col min="1026" max="1026" width="61.7109375" customWidth="1"/>
    <col min="1027" max="1027" width="14" customWidth="1"/>
    <col min="1028" max="1028" width="17.85546875" customWidth="1"/>
    <col min="1029" max="1029" width="39.85546875" customWidth="1"/>
    <col min="1030" max="1030" width="13.85546875" customWidth="1"/>
    <col min="1031" max="1031" width="32.42578125" customWidth="1"/>
    <col min="1032" max="1032" width="9.140625" customWidth="1"/>
    <col min="1279" max="1279" width="24.28515625" customWidth="1"/>
    <col min="1280" max="1280" width="25.7109375" customWidth="1"/>
    <col min="1281" max="1281" width="37.140625" customWidth="1"/>
    <col min="1282" max="1282" width="61.7109375" customWidth="1"/>
    <col min="1283" max="1283" width="14" customWidth="1"/>
    <col min="1284" max="1284" width="17.85546875" customWidth="1"/>
    <col min="1285" max="1285" width="39.85546875" customWidth="1"/>
    <col min="1286" max="1286" width="13.85546875" customWidth="1"/>
    <col min="1287" max="1287" width="32.42578125" customWidth="1"/>
    <col min="1288" max="1288" width="9.140625" customWidth="1"/>
    <col min="1535" max="1535" width="24.28515625" customWidth="1"/>
    <col min="1536" max="1536" width="25.7109375" customWidth="1"/>
    <col min="1537" max="1537" width="37.140625" customWidth="1"/>
    <col min="1538" max="1538" width="61.7109375" customWidth="1"/>
    <col min="1539" max="1539" width="14" customWidth="1"/>
    <col min="1540" max="1540" width="17.85546875" customWidth="1"/>
    <col min="1541" max="1541" width="39.85546875" customWidth="1"/>
    <col min="1542" max="1542" width="13.85546875" customWidth="1"/>
    <col min="1543" max="1543" width="32.42578125" customWidth="1"/>
    <col min="1544" max="1544" width="9.140625" customWidth="1"/>
    <col min="1791" max="1791" width="24.28515625" customWidth="1"/>
    <col min="1792" max="1792" width="25.7109375" customWidth="1"/>
    <col min="1793" max="1793" width="37.140625" customWidth="1"/>
    <col min="1794" max="1794" width="61.7109375" customWidth="1"/>
    <col min="1795" max="1795" width="14" customWidth="1"/>
    <col min="1796" max="1796" width="17.85546875" customWidth="1"/>
    <col min="1797" max="1797" width="39.85546875" customWidth="1"/>
    <col min="1798" max="1798" width="13.85546875" customWidth="1"/>
    <col min="1799" max="1799" width="32.42578125" customWidth="1"/>
    <col min="1800" max="1800" width="9.140625" customWidth="1"/>
    <col min="2047" max="2047" width="24.28515625" customWidth="1"/>
    <col min="2048" max="2048" width="25.7109375" customWidth="1"/>
    <col min="2049" max="2049" width="37.140625" customWidth="1"/>
    <col min="2050" max="2050" width="61.7109375" customWidth="1"/>
    <col min="2051" max="2051" width="14" customWidth="1"/>
    <col min="2052" max="2052" width="17.85546875" customWidth="1"/>
    <col min="2053" max="2053" width="39.85546875" customWidth="1"/>
    <col min="2054" max="2054" width="13.85546875" customWidth="1"/>
    <col min="2055" max="2055" width="32.42578125" customWidth="1"/>
    <col min="2056" max="2056" width="9.140625" customWidth="1"/>
    <col min="2303" max="2303" width="24.28515625" customWidth="1"/>
    <col min="2304" max="2304" width="25.7109375" customWidth="1"/>
    <col min="2305" max="2305" width="37.140625" customWidth="1"/>
    <col min="2306" max="2306" width="61.7109375" customWidth="1"/>
    <col min="2307" max="2307" width="14" customWidth="1"/>
    <col min="2308" max="2308" width="17.85546875" customWidth="1"/>
    <col min="2309" max="2309" width="39.85546875" customWidth="1"/>
    <col min="2310" max="2310" width="13.85546875" customWidth="1"/>
    <col min="2311" max="2311" width="32.42578125" customWidth="1"/>
    <col min="2312" max="2312" width="9.140625" customWidth="1"/>
    <col min="2559" max="2559" width="24.28515625" customWidth="1"/>
    <col min="2560" max="2560" width="25.7109375" customWidth="1"/>
    <col min="2561" max="2561" width="37.140625" customWidth="1"/>
    <col min="2562" max="2562" width="61.7109375" customWidth="1"/>
    <col min="2563" max="2563" width="14" customWidth="1"/>
    <col min="2564" max="2564" width="17.85546875" customWidth="1"/>
    <col min="2565" max="2565" width="39.85546875" customWidth="1"/>
    <col min="2566" max="2566" width="13.85546875" customWidth="1"/>
    <col min="2567" max="2567" width="32.42578125" customWidth="1"/>
    <col min="2568" max="2568" width="9.140625" customWidth="1"/>
    <col min="2815" max="2815" width="24.28515625" customWidth="1"/>
    <col min="2816" max="2816" width="25.7109375" customWidth="1"/>
    <col min="2817" max="2817" width="37.140625" customWidth="1"/>
    <col min="2818" max="2818" width="61.7109375" customWidth="1"/>
    <col min="2819" max="2819" width="14" customWidth="1"/>
    <col min="2820" max="2820" width="17.85546875" customWidth="1"/>
    <col min="2821" max="2821" width="39.85546875" customWidth="1"/>
    <col min="2822" max="2822" width="13.85546875" customWidth="1"/>
    <col min="2823" max="2823" width="32.42578125" customWidth="1"/>
    <col min="2824" max="2824" width="9.140625" customWidth="1"/>
    <col min="3071" max="3071" width="24.28515625" customWidth="1"/>
    <col min="3072" max="3072" width="25.7109375" customWidth="1"/>
    <col min="3073" max="3073" width="37.140625" customWidth="1"/>
    <col min="3074" max="3074" width="61.7109375" customWidth="1"/>
    <col min="3075" max="3075" width="14" customWidth="1"/>
    <col min="3076" max="3076" width="17.85546875" customWidth="1"/>
    <col min="3077" max="3077" width="39.85546875" customWidth="1"/>
    <col min="3078" max="3078" width="13.85546875" customWidth="1"/>
    <col min="3079" max="3079" width="32.42578125" customWidth="1"/>
    <col min="3080" max="3080" width="9.140625" customWidth="1"/>
    <col min="3327" max="3327" width="24.28515625" customWidth="1"/>
    <col min="3328" max="3328" width="25.7109375" customWidth="1"/>
    <col min="3329" max="3329" width="37.140625" customWidth="1"/>
    <col min="3330" max="3330" width="61.7109375" customWidth="1"/>
    <col min="3331" max="3331" width="14" customWidth="1"/>
    <col min="3332" max="3332" width="17.85546875" customWidth="1"/>
    <col min="3333" max="3333" width="39.85546875" customWidth="1"/>
    <col min="3334" max="3334" width="13.85546875" customWidth="1"/>
    <col min="3335" max="3335" width="32.42578125" customWidth="1"/>
    <col min="3336" max="3336" width="9.140625" customWidth="1"/>
    <col min="3583" max="3583" width="24.28515625" customWidth="1"/>
    <col min="3584" max="3584" width="25.7109375" customWidth="1"/>
    <col min="3585" max="3585" width="37.140625" customWidth="1"/>
    <col min="3586" max="3586" width="61.7109375" customWidth="1"/>
    <col min="3587" max="3587" width="14" customWidth="1"/>
    <col min="3588" max="3588" width="17.85546875" customWidth="1"/>
    <col min="3589" max="3589" width="39.85546875" customWidth="1"/>
    <col min="3590" max="3590" width="13.85546875" customWidth="1"/>
    <col min="3591" max="3591" width="32.42578125" customWidth="1"/>
    <col min="3592" max="3592" width="9.140625" customWidth="1"/>
    <col min="3839" max="3839" width="24.28515625" customWidth="1"/>
    <col min="3840" max="3840" width="25.7109375" customWidth="1"/>
    <col min="3841" max="3841" width="37.140625" customWidth="1"/>
    <col min="3842" max="3842" width="61.7109375" customWidth="1"/>
    <col min="3843" max="3843" width="14" customWidth="1"/>
    <col min="3844" max="3844" width="17.85546875" customWidth="1"/>
    <col min="3845" max="3845" width="39.85546875" customWidth="1"/>
    <col min="3846" max="3846" width="13.85546875" customWidth="1"/>
    <col min="3847" max="3847" width="32.42578125" customWidth="1"/>
    <col min="3848" max="3848" width="9.140625" customWidth="1"/>
    <col min="4095" max="4095" width="24.28515625" customWidth="1"/>
    <col min="4096" max="4096" width="25.7109375" customWidth="1"/>
    <col min="4097" max="4097" width="37.140625" customWidth="1"/>
    <col min="4098" max="4098" width="61.7109375" customWidth="1"/>
    <col min="4099" max="4099" width="14" customWidth="1"/>
    <col min="4100" max="4100" width="17.85546875" customWidth="1"/>
    <col min="4101" max="4101" width="39.85546875" customWidth="1"/>
    <col min="4102" max="4102" width="13.85546875" customWidth="1"/>
    <col min="4103" max="4103" width="32.42578125" customWidth="1"/>
    <col min="4104" max="4104" width="9.140625" customWidth="1"/>
    <col min="4351" max="4351" width="24.28515625" customWidth="1"/>
    <col min="4352" max="4352" width="25.7109375" customWidth="1"/>
    <col min="4353" max="4353" width="37.140625" customWidth="1"/>
    <col min="4354" max="4354" width="61.7109375" customWidth="1"/>
    <col min="4355" max="4355" width="14" customWidth="1"/>
    <col min="4356" max="4356" width="17.85546875" customWidth="1"/>
    <col min="4357" max="4357" width="39.85546875" customWidth="1"/>
    <col min="4358" max="4358" width="13.85546875" customWidth="1"/>
    <col min="4359" max="4359" width="32.42578125" customWidth="1"/>
    <col min="4360" max="4360" width="9.140625" customWidth="1"/>
    <col min="4607" max="4607" width="24.28515625" customWidth="1"/>
    <col min="4608" max="4608" width="25.7109375" customWidth="1"/>
    <col min="4609" max="4609" width="37.140625" customWidth="1"/>
    <col min="4610" max="4610" width="61.7109375" customWidth="1"/>
    <col min="4611" max="4611" width="14" customWidth="1"/>
    <col min="4612" max="4612" width="17.85546875" customWidth="1"/>
    <col min="4613" max="4613" width="39.85546875" customWidth="1"/>
    <col min="4614" max="4614" width="13.85546875" customWidth="1"/>
    <col min="4615" max="4615" width="32.42578125" customWidth="1"/>
    <col min="4616" max="4616" width="9.140625" customWidth="1"/>
    <col min="4863" max="4863" width="24.28515625" customWidth="1"/>
    <col min="4864" max="4864" width="25.7109375" customWidth="1"/>
    <col min="4865" max="4865" width="37.140625" customWidth="1"/>
    <col min="4866" max="4866" width="61.7109375" customWidth="1"/>
    <col min="4867" max="4867" width="14" customWidth="1"/>
    <col min="4868" max="4868" width="17.85546875" customWidth="1"/>
    <col min="4869" max="4869" width="39.85546875" customWidth="1"/>
    <col min="4870" max="4870" width="13.85546875" customWidth="1"/>
    <col min="4871" max="4871" width="32.42578125" customWidth="1"/>
    <col min="4872" max="4872" width="9.140625" customWidth="1"/>
    <col min="5119" max="5119" width="24.28515625" customWidth="1"/>
    <col min="5120" max="5120" width="25.7109375" customWidth="1"/>
    <col min="5121" max="5121" width="37.140625" customWidth="1"/>
    <col min="5122" max="5122" width="61.7109375" customWidth="1"/>
    <col min="5123" max="5123" width="14" customWidth="1"/>
    <col min="5124" max="5124" width="17.85546875" customWidth="1"/>
    <col min="5125" max="5125" width="39.85546875" customWidth="1"/>
    <col min="5126" max="5126" width="13.85546875" customWidth="1"/>
    <col min="5127" max="5127" width="32.42578125" customWidth="1"/>
    <col min="5128" max="5128" width="9.140625" customWidth="1"/>
    <col min="5375" max="5375" width="24.28515625" customWidth="1"/>
    <col min="5376" max="5376" width="25.7109375" customWidth="1"/>
    <col min="5377" max="5377" width="37.140625" customWidth="1"/>
    <col min="5378" max="5378" width="61.7109375" customWidth="1"/>
    <col min="5379" max="5379" width="14" customWidth="1"/>
    <col min="5380" max="5380" width="17.85546875" customWidth="1"/>
    <col min="5381" max="5381" width="39.85546875" customWidth="1"/>
    <col min="5382" max="5382" width="13.85546875" customWidth="1"/>
    <col min="5383" max="5383" width="32.42578125" customWidth="1"/>
    <col min="5384" max="5384" width="9.140625" customWidth="1"/>
    <col min="5631" max="5631" width="24.28515625" customWidth="1"/>
    <col min="5632" max="5632" width="25.7109375" customWidth="1"/>
    <col min="5633" max="5633" width="37.140625" customWidth="1"/>
    <col min="5634" max="5634" width="61.7109375" customWidth="1"/>
    <col min="5635" max="5635" width="14" customWidth="1"/>
    <col min="5636" max="5636" width="17.85546875" customWidth="1"/>
    <col min="5637" max="5637" width="39.85546875" customWidth="1"/>
    <col min="5638" max="5638" width="13.85546875" customWidth="1"/>
    <col min="5639" max="5639" width="32.42578125" customWidth="1"/>
    <col min="5640" max="5640" width="9.140625" customWidth="1"/>
    <col min="5887" max="5887" width="24.28515625" customWidth="1"/>
    <col min="5888" max="5888" width="25.7109375" customWidth="1"/>
    <col min="5889" max="5889" width="37.140625" customWidth="1"/>
    <col min="5890" max="5890" width="61.7109375" customWidth="1"/>
    <col min="5891" max="5891" width="14" customWidth="1"/>
    <col min="5892" max="5892" width="17.85546875" customWidth="1"/>
    <col min="5893" max="5893" width="39.85546875" customWidth="1"/>
    <col min="5894" max="5894" width="13.85546875" customWidth="1"/>
    <col min="5895" max="5895" width="32.42578125" customWidth="1"/>
    <col min="5896" max="5896" width="9.140625" customWidth="1"/>
    <col min="6143" max="6143" width="24.28515625" customWidth="1"/>
    <col min="6144" max="6144" width="25.7109375" customWidth="1"/>
    <col min="6145" max="6145" width="37.140625" customWidth="1"/>
    <col min="6146" max="6146" width="61.7109375" customWidth="1"/>
    <col min="6147" max="6147" width="14" customWidth="1"/>
    <col min="6148" max="6148" width="17.85546875" customWidth="1"/>
    <col min="6149" max="6149" width="39.85546875" customWidth="1"/>
    <col min="6150" max="6150" width="13.85546875" customWidth="1"/>
    <col min="6151" max="6151" width="32.42578125" customWidth="1"/>
    <col min="6152" max="6152" width="9.140625" customWidth="1"/>
    <col min="6399" max="6399" width="24.28515625" customWidth="1"/>
    <col min="6400" max="6400" width="25.7109375" customWidth="1"/>
    <col min="6401" max="6401" width="37.140625" customWidth="1"/>
    <col min="6402" max="6402" width="61.7109375" customWidth="1"/>
    <col min="6403" max="6403" width="14" customWidth="1"/>
    <col min="6404" max="6404" width="17.85546875" customWidth="1"/>
    <col min="6405" max="6405" width="39.85546875" customWidth="1"/>
    <col min="6406" max="6406" width="13.85546875" customWidth="1"/>
    <col min="6407" max="6407" width="32.42578125" customWidth="1"/>
    <col min="6408" max="6408" width="9.140625" customWidth="1"/>
    <col min="6655" max="6655" width="24.28515625" customWidth="1"/>
    <col min="6656" max="6656" width="25.7109375" customWidth="1"/>
    <col min="6657" max="6657" width="37.140625" customWidth="1"/>
    <col min="6658" max="6658" width="61.7109375" customWidth="1"/>
    <col min="6659" max="6659" width="14" customWidth="1"/>
    <col min="6660" max="6660" width="17.85546875" customWidth="1"/>
    <col min="6661" max="6661" width="39.85546875" customWidth="1"/>
    <col min="6662" max="6662" width="13.85546875" customWidth="1"/>
    <col min="6663" max="6663" width="32.42578125" customWidth="1"/>
    <col min="6664" max="6664" width="9.140625" customWidth="1"/>
    <col min="6911" max="6911" width="24.28515625" customWidth="1"/>
    <col min="6912" max="6912" width="25.7109375" customWidth="1"/>
    <col min="6913" max="6913" width="37.140625" customWidth="1"/>
    <col min="6914" max="6914" width="61.7109375" customWidth="1"/>
    <col min="6915" max="6915" width="14" customWidth="1"/>
    <col min="6916" max="6916" width="17.85546875" customWidth="1"/>
    <col min="6917" max="6917" width="39.85546875" customWidth="1"/>
    <col min="6918" max="6918" width="13.85546875" customWidth="1"/>
    <col min="6919" max="6919" width="32.42578125" customWidth="1"/>
    <col min="6920" max="6920" width="9.140625" customWidth="1"/>
    <col min="7167" max="7167" width="24.28515625" customWidth="1"/>
    <col min="7168" max="7168" width="25.7109375" customWidth="1"/>
    <col min="7169" max="7169" width="37.140625" customWidth="1"/>
    <col min="7170" max="7170" width="61.7109375" customWidth="1"/>
    <col min="7171" max="7171" width="14" customWidth="1"/>
    <col min="7172" max="7172" width="17.85546875" customWidth="1"/>
    <col min="7173" max="7173" width="39.85546875" customWidth="1"/>
    <col min="7174" max="7174" width="13.85546875" customWidth="1"/>
    <col min="7175" max="7175" width="32.42578125" customWidth="1"/>
    <col min="7176" max="7176" width="9.140625" customWidth="1"/>
    <col min="7423" max="7423" width="24.28515625" customWidth="1"/>
    <col min="7424" max="7424" width="25.7109375" customWidth="1"/>
    <col min="7425" max="7425" width="37.140625" customWidth="1"/>
    <col min="7426" max="7426" width="61.7109375" customWidth="1"/>
    <col min="7427" max="7427" width="14" customWidth="1"/>
    <col min="7428" max="7428" width="17.85546875" customWidth="1"/>
    <col min="7429" max="7429" width="39.85546875" customWidth="1"/>
    <col min="7430" max="7430" width="13.85546875" customWidth="1"/>
    <col min="7431" max="7431" width="32.42578125" customWidth="1"/>
    <col min="7432" max="7432" width="9.140625" customWidth="1"/>
    <col min="7679" max="7679" width="24.28515625" customWidth="1"/>
    <col min="7680" max="7680" width="25.7109375" customWidth="1"/>
    <col min="7681" max="7681" width="37.140625" customWidth="1"/>
    <col min="7682" max="7682" width="61.7109375" customWidth="1"/>
    <col min="7683" max="7683" width="14" customWidth="1"/>
    <col min="7684" max="7684" width="17.85546875" customWidth="1"/>
    <col min="7685" max="7685" width="39.85546875" customWidth="1"/>
    <col min="7686" max="7686" width="13.85546875" customWidth="1"/>
    <col min="7687" max="7687" width="32.42578125" customWidth="1"/>
    <col min="7688" max="7688" width="9.140625" customWidth="1"/>
    <col min="7935" max="7935" width="24.28515625" customWidth="1"/>
    <col min="7936" max="7936" width="25.7109375" customWidth="1"/>
    <col min="7937" max="7937" width="37.140625" customWidth="1"/>
    <col min="7938" max="7938" width="61.7109375" customWidth="1"/>
    <col min="7939" max="7939" width="14" customWidth="1"/>
    <col min="7940" max="7940" width="17.85546875" customWidth="1"/>
    <col min="7941" max="7941" width="39.85546875" customWidth="1"/>
    <col min="7942" max="7942" width="13.85546875" customWidth="1"/>
    <col min="7943" max="7943" width="32.42578125" customWidth="1"/>
    <col min="7944" max="7944" width="9.140625" customWidth="1"/>
    <col min="8191" max="8191" width="24.28515625" customWidth="1"/>
    <col min="8192" max="8192" width="25.7109375" customWidth="1"/>
    <col min="8193" max="8193" width="37.140625" customWidth="1"/>
    <col min="8194" max="8194" width="61.7109375" customWidth="1"/>
    <col min="8195" max="8195" width="14" customWidth="1"/>
    <col min="8196" max="8196" width="17.85546875" customWidth="1"/>
    <col min="8197" max="8197" width="39.85546875" customWidth="1"/>
    <col min="8198" max="8198" width="13.85546875" customWidth="1"/>
    <col min="8199" max="8199" width="32.42578125" customWidth="1"/>
    <col min="8200" max="8200" width="9.140625" customWidth="1"/>
    <col min="8447" max="8447" width="24.28515625" customWidth="1"/>
    <col min="8448" max="8448" width="25.7109375" customWidth="1"/>
    <col min="8449" max="8449" width="37.140625" customWidth="1"/>
    <col min="8450" max="8450" width="61.7109375" customWidth="1"/>
    <col min="8451" max="8451" width="14" customWidth="1"/>
    <col min="8452" max="8452" width="17.85546875" customWidth="1"/>
    <col min="8453" max="8453" width="39.85546875" customWidth="1"/>
    <col min="8454" max="8454" width="13.85546875" customWidth="1"/>
    <col min="8455" max="8455" width="32.42578125" customWidth="1"/>
    <col min="8456" max="8456" width="9.140625" customWidth="1"/>
    <col min="8703" max="8703" width="24.28515625" customWidth="1"/>
    <col min="8704" max="8704" width="25.7109375" customWidth="1"/>
    <col min="8705" max="8705" width="37.140625" customWidth="1"/>
    <col min="8706" max="8706" width="61.7109375" customWidth="1"/>
    <col min="8707" max="8707" width="14" customWidth="1"/>
    <col min="8708" max="8708" width="17.85546875" customWidth="1"/>
    <col min="8709" max="8709" width="39.85546875" customWidth="1"/>
    <col min="8710" max="8710" width="13.85546875" customWidth="1"/>
    <col min="8711" max="8711" width="32.42578125" customWidth="1"/>
    <col min="8712" max="8712" width="9.140625" customWidth="1"/>
    <col min="8959" max="8959" width="24.28515625" customWidth="1"/>
    <col min="8960" max="8960" width="25.7109375" customWidth="1"/>
    <col min="8961" max="8961" width="37.140625" customWidth="1"/>
    <col min="8962" max="8962" width="61.7109375" customWidth="1"/>
    <col min="8963" max="8963" width="14" customWidth="1"/>
    <col min="8964" max="8964" width="17.85546875" customWidth="1"/>
    <col min="8965" max="8965" width="39.85546875" customWidth="1"/>
    <col min="8966" max="8966" width="13.85546875" customWidth="1"/>
    <col min="8967" max="8967" width="32.42578125" customWidth="1"/>
    <col min="8968" max="8968" width="9.140625" customWidth="1"/>
    <col min="9215" max="9215" width="24.28515625" customWidth="1"/>
    <col min="9216" max="9216" width="25.7109375" customWidth="1"/>
    <col min="9217" max="9217" width="37.140625" customWidth="1"/>
    <col min="9218" max="9218" width="61.7109375" customWidth="1"/>
    <col min="9219" max="9219" width="14" customWidth="1"/>
    <col min="9220" max="9220" width="17.85546875" customWidth="1"/>
    <col min="9221" max="9221" width="39.85546875" customWidth="1"/>
    <col min="9222" max="9222" width="13.85546875" customWidth="1"/>
    <col min="9223" max="9223" width="32.42578125" customWidth="1"/>
    <col min="9224" max="9224" width="9.140625" customWidth="1"/>
    <col min="9471" max="9471" width="24.28515625" customWidth="1"/>
    <col min="9472" max="9472" width="25.7109375" customWidth="1"/>
    <col min="9473" max="9473" width="37.140625" customWidth="1"/>
    <col min="9474" max="9474" width="61.7109375" customWidth="1"/>
    <col min="9475" max="9475" width="14" customWidth="1"/>
    <col min="9476" max="9476" width="17.85546875" customWidth="1"/>
    <col min="9477" max="9477" width="39.85546875" customWidth="1"/>
    <col min="9478" max="9478" width="13.85546875" customWidth="1"/>
    <col min="9479" max="9479" width="32.42578125" customWidth="1"/>
    <col min="9480" max="9480" width="9.140625" customWidth="1"/>
    <col min="9727" max="9727" width="24.28515625" customWidth="1"/>
    <col min="9728" max="9728" width="25.7109375" customWidth="1"/>
    <col min="9729" max="9729" width="37.140625" customWidth="1"/>
    <col min="9730" max="9730" width="61.7109375" customWidth="1"/>
    <col min="9731" max="9731" width="14" customWidth="1"/>
    <col min="9732" max="9732" width="17.85546875" customWidth="1"/>
    <col min="9733" max="9733" width="39.85546875" customWidth="1"/>
    <col min="9734" max="9734" width="13.85546875" customWidth="1"/>
    <col min="9735" max="9735" width="32.42578125" customWidth="1"/>
    <col min="9736" max="9736" width="9.140625" customWidth="1"/>
    <col min="9983" max="9983" width="24.28515625" customWidth="1"/>
    <col min="9984" max="9984" width="25.7109375" customWidth="1"/>
    <col min="9985" max="9985" width="37.140625" customWidth="1"/>
    <col min="9986" max="9986" width="61.7109375" customWidth="1"/>
    <col min="9987" max="9987" width="14" customWidth="1"/>
    <col min="9988" max="9988" width="17.85546875" customWidth="1"/>
    <col min="9989" max="9989" width="39.85546875" customWidth="1"/>
    <col min="9990" max="9990" width="13.85546875" customWidth="1"/>
    <col min="9991" max="9991" width="32.42578125" customWidth="1"/>
    <col min="9992" max="9992" width="9.140625" customWidth="1"/>
    <col min="10239" max="10239" width="24.28515625" customWidth="1"/>
    <col min="10240" max="10240" width="25.7109375" customWidth="1"/>
    <col min="10241" max="10241" width="37.140625" customWidth="1"/>
    <col min="10242" max="10242" width="61.7109375" customWidth="1"/>
    <col min="10243" max="10243" width="14" customWidth="1"/>
    <col min="10244" max="10244" width="17.85546875" customWidth="1"/>
    <col min="10245" max="10245" width="39.85546875" customWidth="1"/>
    <col min="10246" max="10246" width="13.85546875" customWidth="1"/>
    <col min="10247" max="10247" width="32.42578125" customWidth="1"/>
    <col min="10248" max="10248" width="9.140625" customWidth="1"/>
    <col min="10495" max="10495" width="24.28515625" customWidth="1"/>
    <col min="10496" max="10496" width="25.7109375" customWidth="1"/>
    <col min="10497" max="10497" width="37.140625" customWidth="1"/>
    <col min="10498" max="10498" width="61.7109375" customWidth="1"/>
    <col min="10499" max="10499" width="14" customWidth="1"/>
    <col min="10500" max="10500" width="17.85546875" customWidth="1"/>
    <col min="10501" max="10501" width="39.85546875" customWidth="1"/>
    <col min="10502" max="10502" width="13.85546875" customWidth="1"/>
    <col min="10503" max="10503" width="32.42578125" customWidth="1"/>
    <col min="10504" max="10504" width="9.140625" customWidth="1"/>
    <col min="10751" max="10751" width="24.28515625" customWidth="1"/>
    <col min="10752" max="10752" width="25.7109375" customWidth="1"/>
    <col min="10753" max="10753" width="37.140625" customWidth="1"/>
    <col min="10754" max="10754" width="61.7109375" customWidth="1"/>
    <col min="10755" max="10755" width="14" customWidth="1"/>
    <col min="10756" max="10756" width="17.85546875" customWidth="1"/>
    <col min="10757" max="10757" width="39.85546875" customWidth="1"/>
    <col min="10758" max="10758" width="13.85546875" customWidth="1"/>
    <col min="10759" max="10759" width="32.42578125" customWidth="1"/>
    <col min="10760" max="10760" width="9.140625" customWidth="1"/>
    <col min="11007" max="11007" width="24.28515625" customWidth="1"/>
    <col min="11008" max="11008" width="25.7109375" customWidth="1"/>
    <col min="11009" max="11009" width="37.140625" customWidth="1"/>
    <col min="11010" max="11010" width="61.7109375" customWidth="1"/>
    <col min="11011" max="11011" width="14" customWidth="1"/>
    <col min="11012" max="11012" width="17.85546875" customWidth="1"/>
    <col min="11013" max="11013" width="39.85546875" customWidth="1"/>
    <col min="11014" max="11014" width="13.85546875" customWidth="1"/>
    <col min="11015" max="11015" width="32.42578125" customWidth="1"/>
    <col min="11016" max="11016" width="9.140625" customWidth="1"/>
    <col min="11263" max="11263" width="24.28515625" customWidth="1"/>
    <col min="11264" max="11264" width="25.7109375" customWidth="1"/>
    <col min="11265" max="11265" width="37.140625" customWidth="1"/>
    <col min="11266" max="11266" width="61.7109375" customWidth="1"/>
    <col min="11267" max="11267" width="14" customWidth="1"/>
    <col min="11268" max="11268" width="17.85546875" customWidth="1"/>
    <col min="11269" max="11269" width="39.85546875" customWidth="1"/>
    <col min="11270" max="11270" width="13.85546875" customWidth="1"/>
    <col min="11271" max="11271" width="32.42578125" customWidth="1"/>
    <col min="11272" max="11272" width="9.140625" customWidth="1"/>
    <col min="11519" max="11519" width="24.28515625" customWidth="1"/>
    <col min="11520" max="11520" width="25.7109375" customWidth="1"/>
    <col min="11521" max="11521" width="37.140625" customWidth="1"/>
    <col min="11522" max="11522" width="61.7109375" customWidth="1"/>
    <col min="11523" max="11523" width="14" customWidth="1"/>
    <col min="11524" max="11524" width="17.85546875" customWidth="1"/>
    <col min="11525" max="11525" width="39.85546875" customWidth="1"/>
    <col min="11526" max="11526" width="13.85546875" customWidth="1"/>
    <col min="11527" max="11527" width="32.42578125" customWidth="1"/>
    <col min="11528" max="11528" width="9.140625" customWidth="1"/>
    <col min="11775" max="11775" width="24.28515625" customWidth="1"/>
    <col min="11776" max="11776" width="25.7109375" customWidth="1"/>
    <col min="11777" max="11777" width="37.140625" customWidth="1"/>
    <col min="11778" max="11778" width="61.7109375" customWidth="1"/>
    <col min="11779" max="11779" width="14" customWidth="1"/>
    <col min="11780" max="11780" width="17.85546875" customWidth="1"/>
    <col min="11781" max="11781" width="39.85546875" customWidth="1"/>
    <col min="11782" max="11782" width="13.85546875" customWidth="1"/>
    <col min="11783" max="11783" width="32.42578125" customWidth="1"/>
    <col min="11784" max="11784" width="9.140625" customWidth="1"/>
    <col min="12031" max="12031" width="24.28515625" customWidth="1"/>
    <col min="12032" max="12032" width="25.7109375" customWidth="1"/>
    <col min="12033" max="12033" width="37.140625" customWidth="1"/>
    <col min="12034" max="12034" width="61.7109375" customWidth="1"/>
    <col min="12035" max="12035" width="14" customWidth="1"/>
    <col min="12036" max="12036" width="17.85546875" customWidth="1"/>
    <col min="12037" max="12037" width="39.85546875" customWidth="1"/>
    <col min="12038" max="12038" width="13.85546875" customWidth="1"/>
    <col min="12039" max="12039" width="32.42578125" customWidth="1"/>
    <col min="12040" max="12040" width="9.140625" customWidth="1"/>
    <col min="12287" max="12287" width="24.28515625" customWidth="1"/>
    <col min="12288" max="12288" width="25.7109375" customWidth="1"/>
    <col min="12289" max="12289" width="37.140625" customWidth="1"/>
    <col min="12290" max="12290" width="61.7109375" customWidth="1"/>
    <col min="12291" max="12291" width="14" customWidth="1"/>
    <col min="12292" max="12292" width="17.85546875" customWidth="1"/>
    <col min="12293" max="12293" width="39.85546875" customWidth="1"/>
    <col min="12294" max="12294" width="13.85546875" customWidth="1"/>
    <col min="12295" max="12295" width="32.42578125" customWidth="1"/>
    <col min="12296" max="12296" width="9.140625" customWidth="1"/>
    <col min="12543" max="12543" width="24.28515625" customWidth="1"/>
    <col min="12544" max="12544" width="25.7109375" customWidth="1"/>
    <col min="12545" max="12545" width="37.140625" customWidth="1"/>
    <col min="12546" max="12546" width="61.7109375" customWidth="1"/>
    <col min="12547" max="12547" width="14" customWidth="1"/>
    <col min="12548" max="12548" width="17.85546875" customWidth="1"/>
    <col min="12549" max="12549" width="39.85546875" customWidth="1"/>
    <col min="12550" max="12550" width="13.85546875" customWidth="1"/>
    <col min="12551" max="12551" width="32.42578125" customWidth="1"/>
    <col min="12552" max="12552" width="9.140625" customWidth="1"/>
    <col min="12799" max="12799" width="24.28515625" customWidth="1"/>
    <col min="12800" max="12800" width="25.7109375" customWidth="1"/>
    <col min="12801" max="12801" width="37.140625" customWidth="1"/>
    <col min="12802" max="12802" width="61.7109375" customWidth="1"/>
    <col min="12803" max="12803" width="14" customWidth="1"/>
    <col min="12804" max="12804" width="17.85546875" customWidth="1"/>
    <col min="12805" max="12805" width="39.85546875" customWidth="1"/>
    <col min="12806" max="12806" width="13.85546875" customWidth="1"/>
    <col min="12807" max="12807" width="32.42578125" customWidth="1"/>
    <col min="12808" max="12808" width="9.140625" customWidth="1"/>
    <col min="13055" max="13055" width="24.28515625" customWidth="1"/>
    <col min="13056" max="13056" width="25.7109375" customWidth="1"/>
    <col min="13057" max="13057" width="37.140625" customWidth="1"/>
    <col min="13058" max="13058" width="61.7109375" customWidth="1"/>
    <col min="13059" max="13059" width="14" customWidth="1"/>
    <col min="13060" max="13060" width="17.85546875" customWidth="1"/>
    <col min="13061" max="13061" width="39.85546875" customWidth="1"/>
    <col min="13062" max="13062" width="13.85546875" customWidth="1"/>
    <col min="13063" max="13063" width="32.42578125" customWidth="1"/>
    <col min="13064" max="13064" width="9.140625" customWidth="1"/>
    <col min="13311" max="13311" width="24.28515625" customWidth="1"/>
    <col min="13312" max="13312" width="25.7109375" customWidth="1"/>
    <col min="13313" max="13313" width="37.140625" customWidth="1"/>
    <col min="13314" max="13314" width="61.7109375" customWidth="1"/>
    <col min="13315" max="13315" width="14" customWidth="1"/>
    <col min="13316" max="13316" width="17.85546875" customWidth="1"/>
    <col min="13317" max="13317" width="39.85546875" customWidth="1"/>
    <col min="13318" max="13318" width="13.85546875" customWidth="1"/>
    <col min="13319" max="13319" width="32.42578125" customWidth="1"/>
    <col min="13320" max="13320" width="9.140625" customWidth="1"/>
    <col min="13567" max="13567" width="24.28515625" customWidth="1"/>
    <col min="13568" max="13568" width="25.7109375" customWidth="1"/>
    <col min="13569" max="13569" width="37.140625" customWidth="1"/>
    <col min="13570" max="13570" width="61.7109375" customWidth="1"/>
    <col min="13571" max="13571" width="14" customWidth="1"/>
    <col min="13572" max="13572" width="17.85546875" customWidth="1"/>
    <col min="13573" max="13573" width="39.85546875" customWidth="1"/>
    <col min="13574" max="13574" width="13.85546875" customWidth="1"/>
    <col min="13575" max="13575" width="32.42578125" customWidth="1"/>
    <col min="13576" max="13576" width="9.140625" customWidth="1"/>
    <col min="13823" max="13823" width="24.28515625" customWidth="1"/>
    <col min="13824" max="13824" width="25.7109375" customWidth="1"/>
    <col min="13825" max="13825" width="37.140625" customWidth="1"/>
    <col min="13826" max="13826" width="61.7109375" customWidth="1"/>
    <col min="13827" max="13827" width="14" customWidth="1"/>
    <col min="13828" max="13828" width="17.85546875" customWidth="1"/>
    <col min="13829" max="13829" width="39.85546875" customWidth="1"/>
    <col min="13830" max="13830" width="13.85546875" customWidth="1"/>
    <col min="13831" max="13831" width="32.42578125" customWidth="1"/>
    <col min="13832" max="13832" width="9.140625" customWidth="1"/>
    <col min="14079" max="14079" width="24.28515625" customWidth="1"/>
    <col min="14080" max="14080" width="25.7109375" customWidth="1"/>
    <col min="14081" max="14081" width="37.140625" customWidth="1"/>
    <col min="14082" max="14082" width="61.7109375" customWidth="1"/>
    <col min="14083" max="14083" width="14" customWidth="1"/>
    <col min="14084" max="14084" width="17.85546875" customWidth="1"/>
    <col min="14085" max="14085" width="39.85546875" customWidth="1"/>
    <col min="14086" max="14086" width="13.85546875" customWidth="1"/>
    <col min="14087" max="14087" width="32.42578125" customWidth="1"/>
    <col min="14088" max="14088" width="9.140625" customWidth="1"/>
    <col min="14335" max="14335" width="24.28515625" customWidth="1"/>
    <col min="14336" max="14336" width="25.7109375" customWidth="1"/>
    <col min="14337" max="14337" width="37.140625" customWidth="1"/>
    <col min="14338" max="14338" width="61.7109375" customWidth="1"/>
    <col min="14339" max="14339" width="14" customWidth="1"/>
    <col min="14340" max="14340" width="17.85546875" customWidth="1"/>
    <col min="14341" max="14341" width="39.85546875" customWidth="1"/>
    <col min="14342" max="14342" width="13.85546875" customWidth="1"/>
    <col min="14343" max="14343" width="32.42578125" customWidth="1"/>
    <col min="14344" max="14344" width="9.140625" customWidth="1"/>
    <col min="14591" max="14591" width="24.28515625" customWidth="1"/>
    <col min="14592" max="14592" width="25.7109375" customWidth="1"/>
    <col min="14593" max="14593" width="37.140625" customWidth="1"/>
    <col min="14594" max="14594" width="61.7109375" customWidth="1"/>
    <col min="14595" max="14595" width="14" customWidth="1"/>
    <col min="14596" max="14596" width="17.85546875" customWidth="1"/>
    <col min="14597" max="14597" width="39.85546875" customWidth="1"/>
    <col min="14598" max="14598" width="13.85546875" customWidth="1"/>
    <col min="14599" max="14599" width="32.42578125" customWidth="1"/>
    <col min="14600" max="14600" width="9.140625" customWidth="1"/>
    <col min="14847" max="14847" width="24.28515625" customWidth="1"/>
    <col min="14848" max="14848" width="25.7109375" customWidth="1"/>
    <col min="14849" max="14849" width="37.140625" customWidth="1"/>
    <col min="14850" max="14850" width="61.7109375" customWidth="1"/>
    <col min="14851" max="14851" width="14" customWidth="1"/>
    <col min="14852" max="14852" width="17.85546875" customWidth="1"/>
    <col min="14853" max="14853" width="39.85546875" customWidth="1"/>
    <col min="14854" max="14854" width="13.85546875" customWidth="1"/>
    <col min="14855" max="14855" width="32.42578125" customWidth="1"/>
    <col min="14856" max="14856" width="9.140625" customWidth="1"/>
    <col min="15103" max="15103" width="24.28515625" customWidth="1"/>
    <col min="15104" max="15104" width="25.7109375" customWidth="1"/>
    <col min="15105" max="15105" width="37.140625" customWidth="1"/>
    <col min="15106" max="15106" width="61.7109375" customWidth="1"/>
    <col min="15107" max="15107" width="14" customWidth="1"/>
    <col min="15108" max="15108" width="17.85546875" customWidth="1"/>
    <col min="15109" max="15109" width="39.85546875" customWidth="1"/>
    <col min="15110" max="15110" width="13.85546875" customWidth="1"/>
    <col min="15111" max="15111" width="32.42578125" customWidth="1"/>
    <col min="15112" max="15112" width="9.140625" customWidth="1"/>
    <col min="15359" max="15359" width="24.28515625" customWidth="1"/>
    <col min="15360" max="15360" width="25.7109375" customWidth="1"/>
    <col min="15361" max="15361" width="37.140625" customWidth="1"/>
    <col min="15362" max="15362" width="61.7109375" customWidth="1"/>
    <col min="15363" max="15363" width="14" customWidth="1"/>
    <col min="15364" max="15364" width="17.85546875" customWidth="1"/>
    <col min="15365" max="15365" width="39.85546875" customWidth="1"/>
    <col min="15366" max="15366" width="13.85546875" customWidth="1"/>
    <col min="15367" max="15367" width="32.42578125" customWidth="1"/>
    <col min="15368" max="15368" width="9.140625" customWidth="1"/>
    <col min="15615" max="15615" width="24.28515625" customWidth="1"/>
    <col min="15616" max="15616" width="25.7109375" customWidth="1"/>
    <col min="15617" max="15617" width="37.140625" customWidth="1"/>
    <col min="15618" max="15618" width="61.7109375" customWidth="1"/>
    <col min="15619" max="15619" width="14" customWidth="1"/>
    <col min="15620" max="15620" width="17.85546875" customWidth="1"/>
    <col min="15621" max="15621" width="39.85546875" customWidth="1"/>
    <col min="15622" max="15622" width="13.85546875" customWidth="1"/>
    <col min="15623" max="15623" width="32.42578125" customWidth="1"/>
    <col min="15624" max="15624" width="9.140625" customWidth="1"/>
    <col min="15871" max="15871" width="24.28515625" customWidth="1"/>
    <col min="15872" max="15872" width="25.7109375" customWidth="1"/>
    <col min="15873" max="15873" width="37.140625" customWidth="1"/>
    <col min="15874" max="15874" width="61.7109375" customWidth="1"/>
    <col min="15875" max="15875" width="14" customWidth="1"/>
    <col min="15876" max="15876" width="17.85546875" customWidth="1"/>
    <col min="15877" max="15877" width="39.85546875" customWidth="1"/>
    <col min="15878" max="15878" width="13.85546875" customWidth="1"/>
    <col min="15879" max="15879" width="32.42578125" customWidth="1"/>
    <col min="15880" max="15880" width="9.140625" customWidth="1"/>
    <col min="16127" max="16127" width="24.28515625" customWidth="1"/>
    <col min="16128" max="16128" width="25.7109375" customWidth="1"/>
    <col min="16129" max="16129" width="37.140625" customWidth="1"/>
    <col min="16130" max="16130" width="61.7109375" customWidth="1"/>
    <col min="16131" max="16131" width="14" customWidth="1"/>
    <col min="16132" max="16132" width="17.85546875" customWidth="1"/>
    <col min="16133" max="16133" width="39.85546875" customWidth="1"/>
    <col min="16134" max="16134" width="13.85546875" customWidth="1"/>
    <col min="16135" max="16135" width="32.42578125" customWidth="1"/>
    <col min="16136" max="16136" width="9.140625" customWidth="1"/>
  </cols>
  <sheetData>
    <row r="1" spans="1:8" ht="4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</row>
    <row r="2" spans="1:8" ht="45" customHeight="1" x14ac:dyDescent="0.25">
      <c r="A2" s="22" t="s">
        <v>8</v>
      </c>
      <c r="B2" s="6" t="s">
        <v>9</v>
      </c>
      <c r="C2" s="7" t="s">
        <v>10</v>
      </c>
      <c r="D2" s="8">
        <v>0</v>
      </c>
      <c r="E2" s="9"/>
      <c r="F2" s="9"/>
      <c r="G2" s="10"/>
      <c r="H2" s="22">
        <v>10000</v>
      </c>
    </row>
    <row r="3" spans="1:8" ht="45" customHeight="1" x14ac:dyDescent="0.25">
      <c r="A3" s="23"/>
      <c r="B3" s="6" t="s">
        <v>11</v>
      </c>
      <c r="C3" s="7" t="s">
        <v>12</v>
      </c>
      <c r="D3" s="8">
        <v>0</v>
      </c>
      <c r="H3" s="23"/>
    </row>
    <row r="4" spans="1:8" ht="45" customHeight="1" x14ac:dyDescent="0.25">
      <c r="A4" s="24"/>
      <c r="B4" s="6" t="s">
        <v>13</v>
      </c>
      <c r="C4" s="7" t="s">
        <v>14</v>
      </c>
      <c r="D4" s="8">
        <v>0</v>
      </c>
      <c r="E4" s="9"/>
      <c r="F4" s="9"/>
      <c r="G4" s="10"/>
      <c r="H4" s="24"/>
    </row>
    <row r="5" spans="1:8" ht="45" customHeight="1" x14ac:dyDescent="0.25">
      <c r="A5" s="22" t="s">
        <v>15</v>
      </c>
      <c r="B5" s="6" t="s">
        <v>16</v>
      </c>
      <c r="C5" s="7" t="s">
        <v>17</v>
      </c>
      <c r="D5" s="8">
        <v>0</v>
      </c>
      <c r="H5" s="22">
        <v>130000</v>
      </c>
    </row>
    <row r="6" spans="1:8" ht="45" customHeight="1" x14ac:dyDescent="0.25">
      <c r="A6" s="23"/>
      <c r="B6" s="6" t="s">
        <v>18</v>
      </c>
      <c r="C6" s="7" t="s">
        <v>19</v>
      </c>
      <c r="D6" s="8">
        <v>0</v>
      </c>
      <c r="H6" s="23"/>
    </row>
    <row r="7" spans="1:8" ht="45" customHeight="1" x14ac:dyDescent="0.25">
      <c r="A7" s="24"/>
      <c r="B7" s="6" t="s">
        <v>20</v>
      </c>
      <c r="C7" s="7" t="s">
        <v>21</v>
      </c>
      <c r="D7" s="8">
        <v>60000</v>
      </c>
      <c r="H7" s="24"/>
    </row>
    <row r="8" spans="1:8" ht="45" customHeight="1" x14ac:dyDescent="0.25">
      <c r="A8" s="22" t="s">
        <v>22</v>
      </c>
      <c r="B8" s="6" t="s">
        <v>23</v>
      </c>
      <c r="C8" s="7" t="s">
        <v>24</v>
      </c>
      <c r="D8" s="8">
        <v>0</v>
      </c>
      <c r="H8" s="22">
        <v>0</v>
      </c>
    </row>
    <row r="9" spans="1:8" ht="45" customHeight="1" x14ac:dyDescent="0.25">
      <c r="A9" s="24"/>
      <c r="B9" s="6" t="s">
        <v>25</v>
      </c>
      <c r="C9" s="7" t="s">
        <v>26</v>
      </c>
      <c r="D9" s="8">
        <v>20000</v>
      </c>
      <c r="H9" s="24"/>
    </row>
    <row r="10" spans="1:8" ht="45" customHeight="1" x14ac:dyDescent="0.25">
      <c r="A10" s="22" t="s">
        <v>27</v>
      </c>
      <c r="B10" s="6" t="s">
        <v>28</v>
      </c>
      <c r="C10" s="7" t="s">
        <v>29</v>
      </c>
      <c r="D10" s="8">
        <v>0</v>
      </c>
      <c r="H10" s="22">
        <v>0</v>
      </c>
    </row>
    <row r="11" spans="1:8" ht="45" customHeight="1" x14ac:dyDescent="0.25">
      <c r="A11" s="23"/>
      <c r="B11" s="6" t="s">
        <v>30</v>
      </c>
      <c r="C11" s="7" t="s">
        <v>31</v>
      </c>
      <c r="D11" s="8">
        <f>40000</f>
        <v>40000</v>
      </c>
      <c r="H11" s="23"/>
    </row>
    <row r="12" spans="1:8" ht="45" customHeight="1" x14ac:dyDescent="0.25">
      <c r="A12" s="24"/>
      <c r="B12" s="6" t="s">
        <v>32</v>
      </c>
      <c r="C12" s="7" t="s">
        <v>33</v>
      </c>
      <c r="D12" s="8">
        <f>20000</f>
        <v>20000</v>
      </c>
      <c r="H12" s="24"/>
    </row>
    <row r="13" spans="1:8" ht="45" customHeight="1" x14ac:dyDescent="0.25">
      <c r="A13" s="22" t="s">
        <v>34</v>
      </c>
      <c r="B13" s="6" t="s">
        <v>35</v>
      </c>
      <c r="C13" s="7" t="s">
        <v>36</v>
      </c>
      <c r="D13" s="8">
        <v>0</v>
      </c>
      <c r="H13" s="22">
        <v>20000</v>
      </c>
    </row>
    <row r="14" spans="1:8" ht="45" customHeight="1" x14ac:dyDescent="0.25">
      <c r="A14" s="23"/>
      <c r="B14" s="6" t="s">
        <v>37</v>
      </c>
      <c r="C14" s="7" t="s">
        <v>38</v>
      </c>
      <c r="D14" s="8">
        <v>100000</v>
      </c>
      <c r="H14" s="23"/>
    </row>
    <row r="15" spans="1:8" ht="45" customHeight="1" x14ac:dyDescent="0.25">
      <c r="A15" s="24"/>
      <c r="B15" s="6" t="s">
        <v>39</v>
      </c>
      <c r="C15" s="7" t="s">
        <v>40</v>
      </c>
      <c r="D15" s="8">
        <v>20000</v>
      </c>
      <c r="H15" s="24"/>
    </row>
    <row r="16" spans="1:8" ht="45" customHeight="1" x14ac:dyDescent="0.25">
      <c r="A16" s="22" t="s">
        <v>41</v>
      </c>
      <c r="B16" s="6" t="s">
        <v>42</v>
      </c>
      <c r="C16" s="7" t="s">
        <v>43</v>
      </c>
      <c r="D16" s="8">
        <v>0</v>
      </c>
      <c r="H16" s="22">
        <v>430000</v>
      </c>
    </row>
    <row r="17" spans="1:8" ht="45" customHeight="1" x14ac:dyDescent="0.25">
      <c r="A17" s="23"/>
      <c r="B17" s="6" t="s">
        <v>44</v>
      </c>
      <c r="C17" s="7" t="s">
        <v>45</v>
      </c>
      <c r="D17" s="8">
        <v>0</v>
      </c>
      <c r="H17" s="23"/>
    </row>
    <row r="18" spans="1:8" ht="45" customHeight="1" x14ac:dyDescent="0.25">
      <c r="A18" s="24"/>
      <c r="B18" s="6" t="s">
        <v>46</v>
      </c>
      <c r="C18" s="7" t="s">
        <v>47</v>
      </c>
      <c r="D18" s="8">
        <v>40000</v>
      </c>
      <c r="H18" s="24"/>
    </row>
    <row r="19" spans="1:8" ht="45" customHeight="1" x14ac:dyDescent="0.25">
      <c r="A19" s="5" t="s">
        <v>48</v>
      </c>
      <c r="B19" s="6" t="s">
        <v>49</v>
      </c>
      <c r="C19" s="7" t="s">
        <v>50</v>
      </c>
      <c r="D19" s="8">
        <v>20000</v>
      </c>
      <c r="H19" s="5">
        <v>0</v>
      </c>
    </row>
    <row r="20" spans="1:8" ht="45" customHeight="1" x14ac:dyDescent="0.25">
      <c r="A20" s="22" t="s">
        <v>51</v>
      </c>
      <c r="B20" s="6" t="s">
        <v>52</v>
      </c>
      <c r="C20" s="7" t="s">
        <v>53</v>
      </c>
      <c r="D20" s="8">
        <v>0</v>
      </c>
      <c r="H20" s="22">
        <v>410000</v>
      </c>
    </row>
    <row r="21" spans="1:8" ht="45" customHeight="1" x14ac:dyDescent="0.25">
      <c r="A21" s="23"/>
      <c r="B21" s="6" t="s">
        <v>54</v>
      </c>
      <c r="C21" s="7" t="s">
        <v>55</v>
      </c>
      <c r="D21" s="8">
        <v>0</v>
      </c>
      <c r="H21" s="23"/>
    </row>
    <row r="22" spans="1:8" ht="45" customHeight="1" x14ac:dyDescent="0.25">
      <c r="A22" s="23"/>
      <c r="B22" s="6" t="s">
        <v>56</v>
      </c>
      <c r="C22" s="7" t="s">
        <v>57</v>
      </c>
      <c r="D22" s="8">
        <v>0</v>
      </c>
      <c r="H22" s="23"/>
    </row>
    <row r="23" spans="1:8" ht="45" customHeight="1" x14ac:dyDescent="0.25">
      <c r="A23" s="24"/>
      <c r="B23" s="6" t="s">
        <v>58</v>
      </c>
      <c r="C23" s="7" t="s">
        <v>59</v>
      </c>
      <c r="D23" s="8">
        <f>110000-20000</f>
        <v>90000</v>
      </c>
      <c r="H23" s="24"/>
    </row>
    <row r="24" spans="1:8" ht="45" customHeight="1" x14ac:dyDescent="0.25">
      <c r="A24" s="22" t="s">
        <v>60</v>
      </c>
      <c r="B24" s="6" t="s">
        <v>61</v>
      </c>
      <c r="C24" s="7" t="s">
        <v>62</v>
      </c>
      <c r="D24" s="8">
        <f>50000</f>
        <v>50000</v>
      </c>
      <c r="H24" s="22">
        <v>40000</v>
      </c>
    </row>
    <row r="25" spans="1:8" ht="45" customHeight="1" x14ac:dyDescent="0.25">
      <c r="A25" s="23"/>
      <c r="B25" s="6" t="s">
        <v>63</v>
      </c>
      <c r="C25" s="7" t="s">
        <v>64</v>
      </c>
      <c r="D25" s="8">
        <f>220000</f>
        <v>220000</v>
      </c>
      <c r="H25" s="23"/>
    </row>
    <row r="26" spans="1:8" ht="45" customHeight="1" x14ac:dyDescent="0.25">
      <c r="A26" s="24"/>
      <c r="B26" s="6" t="s">
        <v>65</v>
      </c>
      <c r="C26" s="7" t="s">
        <v>66</v>
      </c>
      <c r="D26" s="8">
        <v>50000</v>
      </c>
      <c r="H26" s="24"/>
    </row>
    <row r="27" spans="1:8" ht="45" customHeight="1" x14ac:dyDescent="0.25">
      <c r="A27" s="22" t="s">
        <v>67</v>
      </c>
      <c r="B27" s="6" t="s">
        <v>68</v>
      </c>
      <c r="C27" s="7" t="s">
        <v>69</v>
      </c>
      <c r="D27" s="8">
        <f>60000</f>
        <v>60000</v>
      </c>
      <c r="H27" s="22">
        <v>20000</v>
      </c>
    </row>
    <row r="28" spans="1:8" ht="45" customHeight="1" x14ac:dyDescent="0.25">
      <c r="A28" s="23"/>
      <c r="B28" s="6" t="s">
        <v>68</v>
      </c>
      <c r="C28" s="7" t="s">
        <v>70</v>
      </c>
      <c r="D28" s="8">
        <v>60000</v>
      </c>
      <c r="H28" s="23"/>
    </row>
    <row r="29" spans="1:8" ht="45" customHeight="1" x14ac:dyDescent="0.25">
      <c r="A29" s="23"/>
      <c r="B29" s="6" t="s">
        <v>71</v>
      </c>
      <c r="C29" s="7" t="s">
        <v>72</v>
      </c>
      <c r="D29" s="8">
        <v>0</v>
      </c>
      <c r="H29" s="23"/>
    </row>
    <row r="30" spans="1:8" ht="45" customHeight="1" x14ac:dyDescent="0.25">
      <c r="A30" s="24"/>
      <c r="B30" s="6" t="s">
        <v>73</v>
      </c>
      <c r="C30" s="7" t="s">
        <v>74</v>
      </c>
      <c r="D30" s="8">
        <v>0</v>
      </c>
      <c r="H30" s="24"/>
    </row>
    <row r="31" spans="1:8" ht="45" customHeight="1" x14ac:dyDescent="0.25">
      <c r="A31" s="22" t="s">
        <v>75</v>
      </c>
      <c r="B31" s="6" t="s">
        <v>76</v>
      </c>
      <c r="C31" s="7" t="s">
        <v>77</v>
      </c>
      <c r="D31" s="8">
        <f>60000</f>
        <v>60000</v>
      </c>
      <c r="H31" s="22">
        <v>0</v>
      </c>
    </row>
    <row r="32" spans="1:8" ht="45" customHeight="1" x14ac:dyDescent="0.25">
      <c r="A32" s="24"/>
      <c r="B32" s="6" t="s">
        <v>78</v>
      </c>
      <c r="C32" s="7" t="s">
        <v>79</v>
      </c>
      <c r="D32" s="8">
        <f>30000</f>
        <v>30000</v>
      </c>
      <c r="H32" s="24"/>
    </row>
    <row r="33" spans="1:8" ht="45" customHeight="1" x14ac:dyDescent="0.25">
      <c r="A33" s="22" t="s">
        <v>80</v>
      </c>
      <c r="B33" s="6" t="s">
        <v>81</v>
      </c>
      <c r="C33" s="7" t="s">
        <v>82</v>
      </c>
      <c r="D33" s="8">
        <v>0</v>
      </c>
      <c r="H33" s="22">
        <v>10000</v>
      </c>
    </row>
    <row r="34" spans="1:8" ht="45" customHeight="1" x14ac:dyDescent="0.25">
      <c r="A34" s="23"/>
      <c r="B34" s="6" t="s">
        <v>83</v>
      </c>
      <c r="C34" s="7" t="s">
        <v>84</v>
      </c>
      <c r="D34" s="8">
        <v>0</v>
      </c>
      <c r="H34" s="23"/>
    </row>
    <row r="35" spans="1:8" ht="45" customHeight="1" x14ac:dyDescent="0.25">
      <c r="A35" s="23"/>
      <c r="B35" s="6" t="s">
        <v>85</v>
      </c>
      <c r="C35" s="7" t="s">
        <v>86</v>
      </c>
      <c r="D35" s="8">
        <f>30000</f>
        <v>30000</v>
      </c>
      <c r="H35" s="23"/>
    </row>
    <row r="36" spans="1:8" ht="45" customHeight="1" x14ac:dyDescent="0.25">
      <c r="A36" s="23"/>
      <c r="B36" s="6" t="s">
        <v>87</v>
      </c>
      <c r="C36" s="7" t="s">
        <v>88</v>
      </c>
      <c r="D36" s="8">
        <v>20000</v>
      </c>
      <c r="H36" s="23"/>
    </row>
    <row r="37" spans="1:8" ht="45" customHeight="1" x14ac:dyDescent="0.25">
      <c r="A37" s="24"/>
      <c r="B37" s="6" t="s">
        <v>89</v>
      </c>
      <c r="C37" s="7" t="s">
        <v>90</v>
      </c>
      <c r="D37" s="8">
        <f>20000-10000</f>
        <v>10000</v>
      </c>
      <c r="H37" s="24"/>
    </row>
    <row r="38" spans="1:8" ht="45" customHeight="1" x14ac:dyDescent="0.25">
      <c r="A38" s="22" t="s">
        <v>91</v>
      </c>
      <c r="B38" s="6" t="s">
        <v>92</v>
      </c>
      <c r="C38" s="7" t="s">
        <v>93</v>
      </c>
      <c r="D38" s="8">
        <v>0</v>
      </c>
      <c r="H38" s="22">
        <v>100000</v>
      </c>
    </row>
    <row r="39" spans="1:8" ht="45" customHeight="1" x14ac:dyDescent="0.25">
      <c r="A39" s="23"/>
      <c r="B39" s="6" t="s">
        <v>94</v>
      </c>
      <c r="C39" s="7" t="s">
        <v>95</v>
      </c>
      <c r="D39" s="8">
        <v>0</v>
      </c>
      <c r="H39" s="23"/>
    </row>
    <row r="40" spans="1:8" ht="45" customHeight="1" x14ac:dyDescent="0.25">
      <c r="A40" s="23"/>
      <c r="B40" s="6" t="s">
        <v>96</v>
      </c>
      <c r="C40" s="7" t="s">
        <v>97</v>
      </c>
      <c r="D40" s="8">
        <v>0</v>
      </c>
      <c r="H40" s="23"/>
    </row>
    <row r="41" spans="1:8" ht="45" customHeight="1" x14ac:dyDescent="0.25">
      <c r="A41" s="24"/>
      <c r="B41" s="6" t="s">
        <v>98</v>
      </c>
      <c r="C41" s="7" t="s">
        <v>99</v>
      </c>
      <c r="D41" s="8">
        <v>100000</v>
      </c>
      <c r="H41" s="24"/>
    </row>
    <row r="42" spans="1:8" ht="45" customHeight="1" x14ac:dyDescent="0.25">
      <c r="A42" s="22" t="s">
        <v>100</v>
      </c>
      <c r="B42" s="6" t="s">
        <v>101</v>
      </c>
      <c r="C42" s="7" t="s">
        <v>102</v>
      </c>
      <c r="D42" s="8">
        <v>0</v>
      </c>
      <c r="H42" s="22">
        <v>50000</v>
      </c>
    </row>
    <row r="43" spans="1:8" ht="45" customHeight="1" x14ac:dyDescent="0.25">
      <c r="A43" s="23"/>
      <c r="B43" s="6" t="s">
        <v>103</v>
      </c>
      <c r="C43" s="7" t="s">
        <v>104</v>
      </c>
      <c r="D43" s="8">
        <v>0</v>
      </c>
      <c r="H43" s="23"/>
    </row>
    <row r="44" spans="1:8" ht="45" customHeight="1" x14ac:dyDescent="0.25">
      <c r="A44" s="24"/>
      <c r="B44" s="6" t="s">
        <v>105</v>
      </c>
      <c r="C44" s="7" t="s">
        <v>106</v>
      </c>
      <c r="D44" s="8">
        <v>50000</v>
      </c>
      <c r="H44" s="24"/>
    </row>
    <row r="45" spans="1:8" ht="45" customHeight="1" x14ac:dyDescent="0.25">
      <c r="A45" s="22" t="s">
        <v>107</v>
      </c>
      <c r="B45" s="6" t="s">
        <v>108</v>
      </c>
      <c r="C45" s="7" t="s">
        <v>109</v>
      </c>
      <c r="D45" s="8">
        <v>0</v>
      </c>
      <c r="H45" s="22">
        <v>10000</v>
      </c>
    </row>
    <row r="46" spans="1:8" ht="45" customHeight="1" x14ac:dyDescent="0.25">
      <c r="A46" s="24"/>
      <c r="B46" s="6" t="s">
        <v>110</v>
      </c>
      <c r="C46" s="7" t="s">
        <v>111</v>
      </c>
      <c r="D46" s="8">
        <f>10000</f>
        <v>10000</v>
      </c>
      <c r="H46" s="24"/>
    </row>
    <row r="47" spans="1:8" ht="45" customHeight="1" x14ac:dyDescent="0.25">
      <c r="A47" s="22" t="s">
        <v>112</v>
      </c>
      <c r="B47" s="6" t="s">
        <v>113</v>
      </c>
      <c r="C47" s="7" t="s">
        <v>114</v>
      </c>
      <c r="D47" s="8">
        <f>100000-10000-10000-10000-70000</f>
        <v>0</v>
      </c>
      <c r="H47" s="22">
        <v>180000</v>
      </c>
    </row>
    <row r="48" spans="1:8" ht="45" customHeight="1" x14ac:dyDescent="0.25">
      <c r="A48" s="23"/>
      <c r="B48" s="6" t="s">
        <v>115</v>
      </c>
      <c r="C48" s="7" t="s">
        <v>116</v>
      </c>
      <c r="D48" s="8">
        <v>0</v>
      </c>
      <c r="H48" s="23"/>
    </row>
    <row r="49" spans="1:8" ht="45" customHeight="1" x14ac:dyDescent="0.25">
      <c r="A49" s="24"/>
      <c r="B49" s="6" t="s">
        <v>117</v>
      </c>
      <c r="C49" s="7" t="s">
        <v>118</v>
      </c>
      <c r="D49" s="8">
        <v>80000</v>
      </c>
      <c r="H49" s="24"/>
    </row>
    <row r="50" spans="1:8" ht="45" customHeight="1" x14ac:dyDescent="0.25">
      <c r="A50" s="22" t="s">
        <v>119</v>
      </c>
      <c r="B50" s="6" t="s">
        <v>120</v>
      </c>
      <c r="C50" s="7" t="s">
        <v>121</v>
      </c>
      <c r="D50" s="8">
        <v>0</v>
      </c>
      <c r="H50" s="22">
        <v>0</v>
      </c>
    </row>
    <row r="51" spans="1:8" ht="45" customHeight="1" x14ac:dyDescent="0.25">
      <c r="A51" s="24"/>
      <c r="B51" s="6" t="s">
        <v>122</v>
      </c>
      <c r="C51" s="7" t="s">
        <v>123</v>
      </c>
      <c r="D51" s="8">
        <v>30000</v>
      </c>
      <c r="H51" s="24"/>
    </row>
    <row r="52" spans="1:8" ht="45" customHeight="1" x14ac:dyDescent="0.25">
      <c r="A52" s="22" t="s">
        <v>124</v>
      </c>
      <c r="B52" s="6" t="s">
        <v>125</v>
      </c>
      <c r="C52" s="7" t="s">
        <v>126</v>
      </c>
      <c r="D52" s="8">
        <f>10000</f>
        <v>10000</v>
      </c>
      <c r="H52" s="22">
        <v>20000</v>
      </c>
    </row>
    <row r="53" spans="1:8" ht="45" customHeight="1" x14ac:dyDescent="0.25">
      <c r="A53" s="23"/>
      <c r="B53" s="6" t="s">
        <v>127</v>
      </c>
      <c r="C53" s="7" t="s">
        <v>128</v>
      </c>
      <c r="D53" s="8">
        <v>0</v>
      </c>
      <c r="H53" s="23"/>
    </row>
    <row r="54" spans="1:8" ht="45" customHeight="1" x14ac:dyDescent="0.25">
      <c r="A54" s="24"/>
      <c r="B54" s="6" t="s">
        <v>129</v>
      </c>
      <c r="C54" s="7" t="s">
        <v>130</v>
      </c>
      <c r="D54" s="8">
        <v>0</v>
      </c>
      <c r="H54" s="24"/>
    </row>
    <row r="55" spans="1:8" ht="45" customHeight="1" x14ac:dyDescent="0.25">
      <c r="A55" s="22" t="s">
        <v>131</v>
      </c>
      <c r="B55" s="6" t="s">
        <v>132</v>
      </c>
      <c r="C55" s="7" t="s">
        <v>133</v>
      </c>
      <c r="D55" s="8">
        <v>0</v>
      </c>
      <c r="H55" s="22">
        <v>10000</v>
      </c>
    </row>
    <row r="56" spans="1:8" ht="45" customHeight="1" x14ac:dyDescent="0.25">
      <c r="A56" s="23"/>
      <c r="B56" s="6" t="s">
        <v>134</v>
      </c>
      <c r="C56" s="7" t="s">
        <v>135</v>
      </c>
      <c r="D56" s="8">
        <f>30000-10000</f>
        <v>20000</v>
      </c>
      <c r="H56" s="23"/>
    </row>
    <row r="57" spans="1:8" ht="45" customHeight="1" x14ac:dyDescent="0.25">
      <c r="A57" s="23"/>
      <c r="B57" s="6" t="s">
        <v>136</v>
      </c>
      <c r="C57" s="7" t="s">
        <v>137</v>
      </c>
      <c r="D57" s="8">
        <v>0</v>
      </c>
      <c r="H57" s="23"/>
    </row>
    <row r="58" spans="1:8" ht="45" customHeight="1" x14ac:dyDescent="0.25">
      <c r="A58" s="24"/>
      <c r="B58" s="6" t="s">
        <v>132</v>
      </c>
      <c r="C58" s="7" t="s">
        <v>138</v>
      </c>
      <c r="D58" s="8">
        <v>0</v>
      </c>
      <c r="H58" s="24"/>
    </row>
    <row r="59" spans="1:8" ht="45" customHeight="1" x14ac:dyDescent="0.25">
      <c r="A59" s="22" t="s">
        <v>139</v>
      </c>
      <c r="B59" s="6" t="s">
        <v>140</v>
      </c>
      <c r="C59" s="7" t="s">
        <v>141</v>
      </c>
      <c r="D59" s="8">
        <f>40000</f>
        <v>40000</v>
      </c>
      <c r="H59" s="22">
        <v>0</v>
      </c>
    </row>
    <row r="60" spans="1:8" ht="45" customHeight="1" x14ac:dyDescent="0.25">
      <c r="A60" s="24"/>
      <c r="B60" s="6" t="s">
        <v>142</v>
      </c>
      <c r="C60" s="7" t="s">
        <v>143</v>
      </c>
      <c r="D60" s="8">
        <f>30000-20000</f>
        <v>10000</v>
      </c>
      <c r="H60" s="24"/>
    </row>
    <row r="61" spans="1:8" ht="45" customHeight="1" x14ac:dyDescent="0.25">
      <c r="A61" s="22" t="s">
        <v>144</v>
      </c>
      <c r="B61" s="6" t="s">
        <v>145</v>
      </c>
      <c r="C61" s="7" t="s">
        <v>146</v>
      </c>
      <c r="D61" s="8">
        <v>0</v>
      </c>
      <c r="H61" s="22">
        <v>10000</v>
      </c>
    </row>
    <row r="62" spans="1:8" ht="45" customHeight="1" x14ac:dyDescent="0.25">
      <c r="A62" s="23"/>
      <c r="B62" s="6" t="s">
        <v>147</v>
      </c>
      <c r="C62" s="7" t="s">
        <v>148</v>
      </c>
      <c r="D62" s="8">
        <v>60000</v>
      </c>
      <c r="H62" s="23"/>
    </row>
    <row r="63" spans="1:8" ht="45" customHeight="1" x14ac:dyDescent="0.25">
      <c r="A63" s="24"/>
      <c r="B63" s="6" t="s">
        <v>149</v>
      </c>
      <c r="C63" s="7" t="s">
        <v>150</v>
      </c>
      <c r="D63" s="8">
        <f>50000</f>
        <v>50000</v>
      </c>
      <c r="H63" s="24"/>
    </row>
    <row r="64" spans="1:8" ht="45" customHeight="1" x14ac:dyDescent="0.25">
      <c r="A64" s="22" t="s">
        <v>151</v>
      </c>
      <c r="B64" s="6" t="s">
        <v>152</v>
      </c>
      <c r="C64" s="7" t="s">
        <v>153</v>
      </c>
      <c r="D64" s="8">
        <v>0</v>
      </c>
      <c r="H64" s="22">
        <v>40000</v>
      </c>
    </row>
    <row r="65" spans="1:8" ht="45" customHeight="1" x14ac:dyDescent="0.25">
      <c r="A65" s="23"/>
      <c r="B65" s="6" t="s">
        <v>154</v>
      </c>
      <c r="C65" s="7" t="s">
        <v>155</v>
      </c>
      <c r="D65" s="8">
        <v>0</v>
      </c>
      <c r="H65" s="23"/>
    </row>
    <row r="66" spans="1:8" ht="45" customHeight="1" x14ac:dyDescent="0.25">
      <c r="A66" s="23"/>
      <c r="B66" s="6" t="s">
        <v>156</v>
      </c>
      <c r="C66" s="7" t="s">
        <v>157</v>
      </c>
      <c r="D66" s="8">
        <v>0</v>
      </c>
      <c r="H66" s="23"/>
    </row>
    <row r="67" spans="1:8" ht="45" customHeight="1" x14ac:dyDescent="0.25">
      <c r="A67" s="24"/>
      <c r="B67" s="6" t="s">
        <v>158</v>
      </c>
      <c r="C67" s="7" t="s">
        <v>159</v>
      </c>
      <c r="D67" s="8">
        <v>50000</v>
      </c>
      <c r="H67" s="24"/>
    </row>
    <row r="68" spans="1:8" ht="45" customHeight="1" x14ac:dyDescent="0.25">
      <c r="A68" s="5" t="s">
        <v>160</v>
      </c>
      <c r="B68" s="6" t="s">
        <v>161</v>
      </c>
      <c r="C68" s="7" t="s">
        <v>162</v>
      </c>
      <c r="D68" s="8">
        <v>0</v>
      </c>
      <c r="H68" s="5">
        <v>10000</v>
      </c>
    </row>
    <row r="69" spans="1:8" ht="45" customHeight="1" x14ac:dyDescent="0.25">
      <c r="A69" s="22" t="s">
        <v>163</v>
      </c>
      <c r="B69" s="6" t="s">
        <v>164</v>
      </c>
      <c r="C69" s="7" t="s">
        <v>165</v>
      </c>
      <c r="D69" s="8">
        <v>0</v>
      </c>
      <c r="H69" s="22">
        <v>110000</v>
      </c>
    </row>
    <row r="70" spans="1:8" ht="45" customHeight="1" x14ac:dyDescent="0.25">
      <c r="A70" s="23"/>
      <c r="B70" s="6" t="s">
        <v>166</v>
      </c>
      <c r="C70" s="7" t="s">
        <v>167</v>
      </c>
      <c r="D70" s="8">
        <v>0</v>
      </c>
      <c r="H70" s="23"/>
    </row>
    <row r="71" spans="1:8" ht="45" customHeight="1" x14ac:dyDescent="0.25">
      <c r="A71" s="23"/>
      <c r="B71" s="6" t="s">
        <v>168</v>
      </c>
      <c r="C71" s="7" t="s">
        <v>169</v>
      </c>
      <c r="D71" s="8">
        <v>0</v>
      </c>
      <c r="H71" s="23"/>
    </row>
    <row r="72" spans="1:8" ht="45" customHeight="1" x14ac:dyDescent="0.25">
      <c r="A72" s="24"/>
      <c r="B72" s="6" t="s">
        <v>170</v>
      </c>
      <c r="C72" s="7" t="s">
        <v>171</v>
      </c>
      <c r="D72" s="8">
        <v>20000</v>
      </c>
      <c r="H72" s="24"/>
    </row>
    <row r="73" spans="1:8" ht="45" customHeight="1" x14ac:dyDescent="0.25">
      <c r="A73" s="22" t="s">
        <v>172</v>
      </c>
      <c r="B73" s="6" t="s">
        <v>173</v>
      </c>
      <c r="C73" s="7" t="s">
        <v>174</v>
      </c>
      <c r="D73" s="8">
        <v>0</v>
      </c>
      <c r="H73" s="22">
        <v>10000</v>
      </c>
    </row>
    <row r="74" spans="1:8" ht="45" customHeight="1" x14ac:dyDescent="0.25">
      <c r="A74" s="23"/>
      <c r="B74" s="6" t="s">
        <v>175</v>
      </c>
      <c r="C74" s="7" t="s">
        <v>176</v>
      </c>
      <c r="D74" s="8">
        <f>30000</f>
        <v>30000</v>
      </c>
      <c r="H74" s="23"/>
    </row>
    <row r="75" spans="1:8" ht="45" customHeight="1" x14ac:dyDescent="0.25">
      <c r="A75" s="24"/>
      <c r="B75" s="6" t="s">
        <v>177</v>
      </c>
      <c r="C75" s="7" t="s">
        <v>178</v>
      </c>
      <c r="D75" s="8">
        <v>0</v>
      </c>
      <c r="H75" s="24"/>
    </row>
    <row r="76" spans="1:8" ht="45" customHeight="1" x14ac:dyDescent="0.25">
      <c r="A76" s="5" t="s">
        <v>179</v>
      </c>
      <c r="B76" s="6" t="s">
        <v>180</v>
      </c>
      <c r="C76" s="7" t="s">
        <v>181</v>
      </c>
      <c r="D76" s="8">
        <v>0</v>
      </c>
      <c r="H76" s="5">
        <v>0</v>
      </c>
    </row>
    <row r="77" spans="1:8" ht="45" customHeight="1" x14ac:dyDescent="0.25">
      <c r="A77" s="5" t="s">
        <v>182</v>
      </c>
      <c r="B77" s="6" t="s">
        <v>183</v>
      </c>
      <c r="C77" s="7" t="s">
        <v>184</v>
      </c>
      <c r="D77" s="8">
        <v>0</v>
      </c>
      <c r="H77" s="5">
        <v>0</v>
      </c>
    </row>
    <row r="78" spans="1:8" ht="45" customHeight="1" x14ac:dyDescent="0.25">
      <c r="A78" s="22" t="s">
        <v>185</v>
      </c>
      <c r="B78" s="6" t="s">
        <v>186</v>
      </c>
      <c r="C78" s="7" t="s">
        <v>187</v>
      </c>
      <c r="D78" s="8">
        <f>60000-10000</f>
        <v>50000</v>
      </c>
      <c r="H78" s="22">
        <v>0</v>
      </c>
    </row>
    <row r="79" spans="1:8" ht="45" customHeight="1" x14ac:dyDescent="0.25">
      <c r="A79" s="24"/>
      <c r="B79" s="6" t="s">
        <v>188</v>
      </c>
      <c r="C79" s="7" t="s">
        <v>189</v>
      </c>
      <c r="D79" s="8">
        <f>30000-10000</f>
        <v>20000</v>
      </c>
      <c r="H79" s="24"/>
    </row>
    <row r="80" spans="1:8" ht="45" customHeight="1" x14ac:dyDescent="0.25">
      <c r="A80" s="22" t="s">
        <v>190</v>
      </c>
      <c r="B80" s="6" t="s">
        <v>191</v>
      </c>
      <c r="C80" s="7" t="s">
        <v>192</v>
      </c>
      <c r="D80" s="8">
        <v>0</v>
      </c>
      <c r="H80" s="22">
        <v>10000</v>
      </c>
    </row>
    <row r="81" spans="1:8" ht="45" customHeight="1" x14ac:dyDescent="0.25">
      <c r="A81" s="23"/>
      <c r="B81" s="6" t="s">
        <v>193</v>
      </c>
      <c r="C81" s="7" t="s">
        <v>194</v>
      </c>
      <c r="D81" s="8">
        <v>0</v>
      </c>
      <c r="H81" s="23"/>
    </row>
    <row r="82" spans="1:8" ht="45" customHeight="1" x14ac:dyDescent="0.25">
      <c r="A82" s="24"/>
      <c r="B82" s="6" t="s">
        <v>195</v>
      </c>
      <c r="C82" s="7" t="s">
        <v>196</v>
      </c>
      <c r="D82" s="8">
        <v>0</v>
      </c>
      <c r="H82" s="24"/>
    </row>
    <row r="83" spans="1:8" ht="45" customHeight="1" x14ac:dyDescent="0.25">
      <c r="A83" s="22" t="s">
        <v>197</v>
      </c>
      <c r="B83" s="6" t="s">
        <v>198</v>
      </c>
      <c r="C83" s="7" t="s">
        <v>199</v>
      </c>
      <c r="D83" s="8">
        <v>0</v>
      </c>
      <c r="H83" s="22">
        <v>20000</v>
      </c>
    </row>
    <row r="84" spans="1:8" ht="45" customHeight="1" x14ac:dyDescent="0.25">
      <c r="A84" s="24"/>
      <c r="B84" s="6" t="s">
        <v>200</v>
      </c>
      <c r="C84" s="7" t="s">
        <v>201</v>
      </c>
      <c r="D84" s="8">
        <v>30000</v>
      </c>
      <c r="H84" s="24"/>
    </row>
    <row r="85" spans="1:8" ht="45" customHeight="1" x14ac:dyDescent="0.25">
      <c r="A85" s="22" t="s">
        <v>202</v>
      </c>
      <c r="B85" s="6" t="s">
        <v>203</v>
      </c>
      <c r="C85" s="7" t="s">
        <v>204</v>
      </c>
      <c r="D85" s="8">
        <f>30000-10000</f>
        <v>20000</v>
      </c>
      <c r="H85" s="22">
        <v>0</v>
      </c>
    </row>
    <row r="86" spans="1:8" ht="45" customHeight="1" x14ac:dyDescent="0.25">
      <c r="A86" s="24"/>
      <c r="B86" s="6" t="s">
        <v>205</v>
      </c>
      <c r="C86" s="7" t="s">
        <v>206</v>
      </c>
      <c r="D86" s="8">
        <v>0</v>
      </c>
      <c r="H86" s="24"/>
    </row>
    <row r="87" spans="1:8" ht="45" customHeight="1" x14ac:dyDescent="0.25">
      <c r="A87" s="5" t="s">
        <v>207</v>
      </c>
      <c r="B87" s="6" t="s">
        <v>208</v>
      </c>
      <c r="C87" s="7" t="s">
        <v>209</v>
      </c>
      <c r="D87" s="8">
        <f>2710</f>
        <v>2710</v>
      </c>
      <c r="H87" s="5">
        <v>0</v>
      </c>
    </row>
    <row r="88" spans="1:8" ht="45" customHeight="1" x14ac:dyDescent="0.25">
      <c r="A88" s="22" t="s">
        <v>210</v>
      </c>
      <c r="B88" s="6" t="s">
        <v>211</v>
      </c>
      <c r="C88" s="7" t="s">
        <v>212</v>
      </c>
      <c r="D88" s="8">
        <v>0</v>
      </c>
      <c r="H88" s="22">
        <v>70000</v>
      </c>
    </row>
    <row r="89" spans="1:8" ht="45" customHeight="1" x14ac:dyDescent="0.25">
      <c r="A89" s="23"/>
      <c r="B89" s="6" t="s">
        <v>213</v>
      </c>
      <c r="C89" s="7" t="s">
        <v>214</v>
      </c>
      <c r="D89" s="8">
        <v>90000</v>
      </c>
      <c r="H89" s="23"/>
    </row>
    <row r="90" spans="1:8" ht="45" customHeight="1" x14ac:dyDescent="0.25">
      <c r="A90" s="23"/>
      <c r="B90" s="6" t="s">
        <v>215</v>
      </c>
      <c r="C90" s="7" t="s">
        <v>216</v>
      </c>
      <c r="D90" s="8">
        <v>0</v>
      </c>
      <c r="H90" s="23"/>
    </row>
    <row r="91" spans="1:8" ht="45" customHeight="1" x14ac:dyDescent="0.25">
      <c r="A91" s="24"/>
      <c r="B91" s="6" t="s">
        <v>217</v>
      </c>
      <c r="C91" s="7" t="s">
        <v>218</v>
      </c>
      <c r="D91" s="8">
        <v>0</v>
      </c>
      <c r="H91" s="24"/>
    </row>
    <row r="92" spans="1:8" ht="45" customHeight="1" x14ac:dyDescent="0.25">
      <c r="A92" s="5" t="s">
        <v>219</v>
      </c>
      <c r="B92" s="7" t="s">
        <v>220</v>
      </c>
      <c r="C92" s="7" t="s">
        <v>221</v>
      </c>
      <c r="D92" s="8">
        <f>40000-5000</f>
        <v>35000</v>
      </c>
      <c r="H92" s="5">
        <v>20000</v>
      </c>
    </row>
    <row r="93" spans="1:8" ht="45" customHeight="1" x14ac:dyDescent="0.25">
      <c r="A93" s="22" t="s">
        <v>222</v>
      </c>
      <c r="B93" s="6" t="s">
        <v>223</v>
      </c>
      <c r="C93" s="7" t="s">
        <v>224</v>
      </c>
      <c r="D93" s="8">
        <f>60000-10000</f>
        <v>50000</v>
      </c>
      <c r="H93" s="22">
        <v>50000</v>
      </c>
    </row>
    <row r="94" spans="1:8" ht="45" customHeight="1" x14ac:dyDescent="0.25">
      <c r="A94" s="23"/>
      <c r="B94" s="6" t="s">
        <v>225</v>
      </c>
      <c r="C94" s="7" t="s">
        <v>226</v>
      </c>
      <c r="D94" s="8">
        <f>10000</f>
        <v>10000</v>
      </c>
      <c r="H94" s="23"/>
    </row>
    <row r="95" spans="1:8" ht="45" customHeight="1" x14ac:dyDescent="0.25">
      <c r="A95" s="24"/>
      <c r="B95" s="6" t="s">
        <v>227</v>
      </c>
      <c r="C95" s="7" t="s">
        <v>228</v>
      </c>
      <c r="D95" s="8">
        <v>20000</v>
      </c>
      <c r="H95" s="24"/>
    </row>
    <row r="96" spans="1:8" ht="45" customHeight="1" x14ac:dyDescent="0.25">
      <c r="A96" s="22" t="s">
        <v>229</v>
      </c>
      <c r="B96" s="6" t="s">
        <v>230</v>
      </c>
      <c r="C96" s="7" t="s">
        <v>231</v>
      </c>
      <c r="D96" s="8">
        <v>20000</v>
      </c>
      <c r="H96" s="22">
        <v>0</v>
      </c>
    </row>
    <row r="97" spans="1:8" ht="45" customHeight="1" x14ac:dyDescent="0.25">
      <c r="A97" s="24"/>
      <c r="B97" s="6" t="s">
        <v>232</v>
      </c>
      <c r="C97" s="7" t="s">
        <v>233</v>
      </c>
      <c r="D97" s="8">
        <v>10000</v>
      </c>
      <c r="H97" s="24"/>
    </row>
    <row r="98" spans="1:8" ht="45" customHeight="1" x14ac:dyDescent="0.25">
      <c r="A98" s="22" t="s">
        <v>234</v>
      </c>
      <c r="B98" s="6" t="s">
        <v>235</v>
      </c>
      <c r="C98" s="7" t="s">
        <v>236</v>
      </c>
      <c r="D98" s="8">
        <v>0</v>
      </c>
      <c r="H98" s="22">
        <v>90000</v>
      </c>
    </row>
    <row r="99" spans="1:8" ht="45" customHeight="1" x14ac:dyDescent="0.25">
      <c r="A99" s="23"/>
      <c r="B99" s="6" t="s">
        <v>237</v>
      </c>
      <c r="C99" s="7" t="s">
        <v>238</v>
      </c>
      <c r="D99" s="8">
        <f>120000-10000</f>
        <v>110000</v>
      </c>
      <c r="H99" s="23"/>
    </row>
    <row r="100" spans="1:8" ht="45" customHeight="1" x14ac:dyDescent="0.25">
      <c r="A100" s="24"/>
      <c r="B100" s="6" t="s">
        <v>239</v>
      </c>
      <c r="C100" s="7" t="s">
        <v>240</v>
      </c>
      <c r="D100" s="8">
        <v>0</v>
      </c>
      <c r="H100" s="24"/>
    </row>
    <row r="101" spans="1:8" ht="45" customHeight="1" x14ac:dyDescent="0.25">
      <c r="A101" s="5" t="s">
        <v>241</v>
      </c>
      <c r="B101" s="6" t="s">
        <v>242</v>
      </c>
      <c r="C101" s="7" t="s">
        <v>243</v>
      </c>
      <c r="D101" s="8">
        <f>10000</f>
        <v>10000</v>
      </c>
      <c r="H101" s="5">
        <v>0</v>
      </c>
    </row>
    <row r="102" spans="1:8" ht="45" customHeight="1" x14ac:dyDescent="0.25">
      <c r="A102" s="22" t="s">
        <v>244</v>
      </c>
      <c r="B102" s="6" t="s">
        <v>245</v>
      </c>
      <c r="C102" s="7" t="s">
        <v>246</v>
      </c>
      <c r="D102" s="8">
        <v>0</v>
      </c>
      <c r="H102" s="22">
        <v>10000</v>
      </c>
    </row>
    <row r="103" spans="1:8" ht="45" customHeight="1" x14ac:dyDescent="0.25">
      <c r="A103" s="23"/>
      <c r="B103" s="6" t="s">
        <v>247</v>
      </c>
      <c r="C103" s="7" t="s">
        <v>248</v>
      </c>
      <c r="D103" s="8">
        <f>20000</f>
        <v>20000</v>
      </c>
      <c r="H103" s="23"/>
    </row>
    <row r="104" spans="1:8" ht="45" customHeight="1" x14ac:dyDescent="0.25">
      <c r="A104" s="24"/>
      <c r="B104" s="6" t="s">
        <v>249</v>
      </c>
      <c r="C104" s="7" t="s">
        <v>250</v>
      </c>
      <c r="D104" s="8">
        <v>0</v>
      </c>
      <c r="H104" s="24"/>
    </row>
    <row r="105" spans="1:8" ht="45" customHeight="1" x14ac:dyDescent="0.25">
      <c r="A105" s="22" t="s">
        <v>251</v>
      </c>
      <c r="B105" s="6" t="s">
        <v>252</v>
      </c>
      <c r="C105" s="7" t="s">
        <v>253</v>
      </c>
      <c r="D105" s="8">
        <v>0</v>
      </c>
      <c r="H105" s="22">
        <v>20000</v>
      </c>
    </row>
    <row r="106" spans="1:8" ht="45" customHeight="1" x14ac:dyDescent="0.25">
      <c r="A106" s="23"/>
      <c r="B106" s="6" t="s">
        <v>254</v>
      </c>
      <c r="C106" s="7" t="s">
        <v>255</v>
      </c>
      <c r="D106" s="8">
        <f>70000</f>
        <v>70000</v>
      </c>
      <c r="H106" s="23"/>
    </row>
    <row r="107" spans="1:8" ht="45" customHeight="1" x14ac:dyDescent="0.25">
      <c r="A107" s="24"/>
      <c r="B107" s="6" t="s">
        <v>256</v>
      </c>
      <c r="C107" s="7" t="s">
        <v>257</v>
      </c>
      <c r="D107" s="8">
        <v>0</v>
      </c>
      <c r="H107" s="24"/>
    </row>
    <row r="108" spans="1:8" ht="45" customHeight="1" x14ac:dyDescent="0.25">
      <c r="A108" s="22" t="s">
        <v>258</v>
      </c>
      <c r="B108" s="6" t="s">
        <v>259</v>
      </c>
      <c r="C108" s="7" t="s">
        <v>260</v>
      </c>
      <c r="D108" s="8">
        <v>0</v>
      </c>
      <c r="H108" s="22">
        <v>70000</v>
      </c>
    </row>
    <row r="109" spans="1:8" ht="45" customHeight="1" x14ac:dyDescent="0.25">
      <c r="A109" s="23"/>
      <c r="B109" s="6" t="s">
        <v>261</v>
      </c>
      <c r="C109" s="7" t="s">
        <v>262</v>
      </c>
      <c r="D109" s="8">
        <v>0</v>
      </c>
      <c r="H109" s="23"/>
    </row>
    <row r="110" spans="1:8" ht="45" customHeight="1" x14ac:dyDescent="0.25">
      <c r="A110" s="24"/>
      <c r="B110" s="6" t="s">
        <v>263</v>
      </c>
      <c r="C110" s="7" t="s">
        <v>264</v>
      </c>
      <c r="D110" s="8">
        <v>80000</v>
      </c>
      <c r="H110" s="24"/>
    </row>
    <row r="111" spans="1:8" ht="45" customHeight="1" x14ac:dyDescent="0.25">
      <c r="A111" s="5" t="s">
        <v>265</v>
      </c>
      <c r="B111" s="6" t="s">
        <v>266</v>
      </c>
      <c r="C111" s="7" t="s">
        <v>267</v>
      </c>
      <c r="D111" s="8">
        <f>20000</f>
        <v>20000</v>
      </c>
      <c r="H111" s="5">
        <v>0</v>
      </c>
    </row>
    <row r="112" spans="1:8" ht="45" customHeight="1" x14ac:dyDescent="0.25">
      <c r="A112" s="22" t="s">
        <v>268</v>
      </c>
      <c r="B112" s="6" t="s">
        <v>269</v>
      </c>
      <c r="C112" s="7" t="s">
        <v>270</v>
      </c>
      <c r="D112" s="8">
        <v>0</v>
      </c>
      <c r="H112" s="22">
        <v>0</v>
      </c>
    </row>
    <row r="113" spans="1:8" ht="45" customHeight="1" x14ac:dyDescent="0.25">
      <c r="A113" s="23"/>
      <c r="B113" s="6" t="s">
        <v>271</v>
      </c>
      <c r="C113" s="7" t="s">
        <v>272</v>
      </c>
      <c r="D113" s="8">
        <v>10000</v>
      </c>
      <c r="H113" s="23"/>
    </row>
    <row r="114" spans="1:8" ht="45" customHeight="1" x14ac:dyDescent="0.25">
      <c r="A114" s="23"/>
      <c r="B114" s="6" t="s">
        <v>273</v>
      </c>
      <c r="C114" s="7" t="s">
        <v>274</v>
      </c>
      <c r="D114" s="8">
        <f>20000-10000</f>
        <v>10000</v>
      </c>
      <c r="H114" s="23"/>
    </row>
    <row r="115" spans="1:8" ht="45" customHeight="1" x14ac:dyDescent="0.25">
      <c r="A115" s="24"/>
      <c r="B115" s="6" t="s">
        <v>275</v>
      </c>
      <c r="C115" s="7" t="s">
        <v>276</v>
      </c>
      <c r="D115" s="8">
        <v>0</v>
      </c>
      <c r="H115" s="24"/>
    </row>
    <row r="116" spans="1:8" ht="45" customHeight="1" x14ac:dyDescent="0.25">
      <c r="A116" s="22" t="s">
        <v>277</v>
      </c>
      <c r="B116" s="6" t="s">
        <v>278</v>
      </c>
      <c r="C116" s="7" t="s">
        <v>279</v>
      </c>
      <c r="D116" s="8">
        <f>10000</f>
        <v>10000</v>
      </c>
      <c r="H116" s="22">
        <v>0</v>
      </c>
    </row>
    <row r="117" spans="1:8" ht="45" customHeight="1" x14ac:dyDescent="0.25">
      <c r="A117" s="24"/>
      <c r="B117" s="6" t="s">
        <v>280</v>
      </c>
      <c r="C117" s="7" t="s">
        <v>281</v>
      </c>
      <c r="D117" s="8">
        <v>0</v>
      </c>
      <c r="H117" s="24"/>
    </row>
    <row r="118" spans="1:8" ht="45" customHeight="1" x14ac:dyDescent="0.25">
      <c r="A118" s="22" t="s">
        <v>282</v>
      </c>
      <c r="B118" s="6" t="s">
        <v>283</v>
      </c>
      <c r="C118" s="7" t="s">
        <v>284</v>
      </c>
      <c r="D118" s="8">
        <v>0</v>
      </c>
      <c r="H118" s="22">
        <v>30000</v>
      </c>
    </row>
    <row r="119" spans="1:8" ht="45" customHeight="1" x14ac:dyDescent="0.25">
      <c r="A119" s="23"/>
      <c r="B119" s="6" t="s">
        <v>285</v>
      </c>
      <c r="C119" s="7" t="s">
        <v>286</v>
      </c>
      <c r="D119" s="8">
        <f>20000</f>
        <v>20000</v>
      </c>
      <c r="H119" s="23"/>
    </row>
    <row r="120" spans="1:8" ht="45" customHeight="1" x14ac:dyDescent="0.25">
      <c r="A120" s="24"/>
      <c r="B120" s="6" t="s">
        <v>287</v>
      </c>
      <c r="C120" s="7" t="s">
        <v>288</v>
      </c>
      <c r="D120" s="8">
        <v>0</v>
      </c>
      <c r="H120" s="24"/>
    </row>
    <row r="121" spans="1:8" ht="45" customHeight="1" x14ac:dyDescent="0.25">
      <c r="A121" s="22" t="s">
        <v>289</v>
      </c>
      <c r="B121" s="6" t="s">
        <v>290</v>
      </c>
      <c r="C121" s="7" t="s">
        <v>291</v>
      </c>
      <c r="D121" s="8">
        <v>0</v>
      </c>
      <c r="H121" s="22">
        <v>0</v>
      </c>
    </row>
    <row r="122" spans="1:8" ht="45" customHeight="1" x14ac:dyDescent="0.25">
      <c r="A122" s="24"/>
      <c r="B122" s="6" t="s">
        <v>292</v>
      </c>
      <c r="C122" s="7" t="s">
        <v>293</v>
      </c>
      <c r="D122" s="8">
        <v>0</v>
      </c>
      <c r="H122" s="24"/>
    </row>
    <row r="123" spans="1:8" ht="45" customHeight="1" x14ac:dyDescent="0.25">
      <c r="A123" s="22" t="s">
        <v>294</v>
      </c>
      <c r="B123" s="6" t="s">
        <v>295</v>
      </c>
      <c r="C123" s="7" t="s">
        <v>296</v>
      </c>
      <c r="D123" s="8">
        <f>30000-10000</f>
        <v>20000</v>
      </c>
      <c r="H123" s="22">
        <v>10000</v>
      </c>
    </row>
    <row r="124" spans="1:8" ht="45" customHeight="1" x14ac:dyDescent="0.25">
      <c r="A124" s="24"/>
      <c r="B124" s="6" t="s">
        <v>297</v>
      </c>
      <c r="C124" s="7" t="s">
        <v>298</v>
      </c>
      <c r="D124" s="8">
        <v>0</v>
      </c>
      <c r="H124" s="24"/>
    </row>
    <row r="125" spans="1:8" ht="45" customHeight="1" x14ac:dyDescent="0.25">
      <c r="A125" s="22" t="s">
        <v>299</v>
      </c>
      <c r="B125" s="6" t="s">
        <v>300</v>
      </c>
      <c r="C125" s="7" t="s">
        <v>301</v>
      </c>
      <c r="D125" s="8">
        <v>0</v>
      </c>
      <c r="H125" s="22">
        <v>0</v>
      </c>
    </row>
    <row r="126" spans="1:8" ht="45" customHeight="1" x14ac:dyDescent="0.25">
      <c r="A126" s="23"/>
      <c r="B126" s="6" t="s">
        <v>302</v>
      </c>
      <c r="C126" s="7" t="s">
        <v>303</v>
      </c>
      <c r="D126" s="8">
        <v>0</v>
      </c>
      <c r="H126" s="23"/>
    </row>
    <row r="127" spans="1:8" ht="45" customHeight="1" x14ac:dyDescent="0.25">
      <c r="A127" s="23"/>
      <c r="B127" s="6" t="s">
        <v>304</v>
      </c>
      <c r="C127" s="7" t="s">
        <v>305</v>
      </c>
      <c r="D127" s="8">
        <v>0</v>
      </c>
      <c r="H127" s="23"/>
    </row>
    <row r="128" spans="1:8" ht="45" customHeight="1" x14ac:dyDescent="0.25">
      <c r="A128" s="24"/>
      <c r="B128" s="6" t="s">
        <v>306</v>
      </c>
      <c r="C128" s="7" t="s">
        <v>307</v>
      </c>
      <c r="D128" s="8">
        <v>0</v>
      </c>
      <c r="H128" s="24"/>
    </row>
    <row r="129" spans="1:8" ht="45" customHeight="1" x14ac:dyDescent="0.25">
      <c r="A129" s="22" t="s">
        <v>308</v>
      </c>
      <c r="B129" s="6" t="s">
        <v>309</v>
      </c>
      <c r="C129" s="7" t="s">
        <v>310</v>
      </c>
      <c r="D129" s="8">
        <v>0</v>
      </c>
      <c r="H129" s="22">
        <v>0</v>
      </c>
    </row>
    <row r="130" spans="1:8" ht="45" customHeight="1" x14ac:dyDescent="0.25">
      <c r="A130" s="24"/>
      <c r="B130" s="6" t="s">
        <v>311</v>
      </c>
      <c r="C130" s="7" t="s">
        <v>312</v>
      </c>
      <c r="D130" s="8">
        <v>10000</v>
      </c>
      <c r="H130" s="24"/>
    </row>
    <row r="131" spans="1:8" ht="45" customHeight="1" x14ac:dyDescent="0.25">
      <c r="A131" s="22" t="s">
        <v>313</v>
      </c>
      <c r="B131" s="6" t="s">
        <v>314</v>
      </c>
      <c r="C131" s="7" t="s">
        <v>315</v>
      </c>
      <c r="D131" s="8">
        <v>0</v>
      </c>
      <c r="H131" s="22">
        <v>20000</v>
      </c>
    </row>
    <row r="132" spans="1:8" ht="45" customHeight="1" x14ac:dyDescent="0.25">
      <c r="A132" s="23"/>
      <c r="B132" s="6" t="s">
        <v>316</v>
      </c>
      <c r="C132" s="7" t="s">
        <v>317</v>
      </c>
      <c r="D132" s="8">
        <v>0</v>
      </c>
      <c r="H132" s="23"/>
    </row>
    <row r="133" spans="1:8" ht="45" customHeight="1" x14ac:dyDescent="0.25">
      <c r="A133" s="23"/>
      <c r="B133" s="6" t="s">
        <v>318</v>
      </c>
      <c r="C133" s="7" t="s">
        <v>319</v>
      </c>
      <c r="D133" s="8">
        <v>0</v>
      </c>
      <c r="H133" s="23"/>
    </row>
    <row r="134" spans="1:8" ht="45" customHeight="1" x14ac:dyDescent="0.25">
      <c r="A134" s="24"/>
      <c r="B134" s="6" t="s">
        <v>320</v>
      </c>
      <c r="C134" s="7" t="s">
        <v>321</v>
      </c>
      <c r="D134" s="8">
        <f>30000</f>
        <v>30000</v>
      </c>
      <c r="H134" s="24"/>
    </row>
    <row r="135" spans="1:8" ht="45" customHeight="1" x14ac:dyDescent="0.25">
      <c r="A135" s="22" t="s">
        <v>322</v>
      </c>
      <c r="B135" s="6" t="s">
        <v>323</v>
      </c>
      <c r="C135" s="7" t="s">
        <v>324</v>
      </c>
      <c r="D135" s="8">
        <f>20000</f>
        <v>20000</v>
      </c>
      <c r="H135" s="22">
        <v>10000</v>
      </c>
    </row>
    <row r="136" spans="1:8" ht="45" customHeight="1" x14ac:dyDescent="0.25">
      <c r="A136" s="23"/>
      <c r="B136" s="6" t="s">
        <v>325</v>
      </c>
      <c r="C136" s="7" t="s">
        <v>326</v>
      </c>
      <c r="D136" s="8">
        <v>0</v>
      </c>
      <c r="H136" s="23"/>
    </row>
    <row r="137" spans="1:8" ht="45" customHeight="1" x14ac:dyDescent="0.25">
      <c r="A137" s="24"/>
      <c r="B137" s="6" t="s">
        <v>327</v>
      </c>
      <c r="C137" s="7" t="s">
        <v>328</v>
      </c>
      <c r="D137" s="8">
        <v>0</v>
      </c>
      <c r="H137" s="24"/>
    </row>
    <row r="138" spans="1:8" ht="45" customHeight="1" x14ac:dyDescent="0.25">
      <c r="A138" s="22" t="s">
        <v>329</v>
      </c>
      <c r="B138" s="6" t="s">
        <v>330</v>
      </c>
      <c r="C138" s="7" t="s">
        <v>331</v>
      </c>
      <c r="D138" s="8">
        <v>0</v>
      </c>
      <c r="H138" s="22">
        <v>10000</v>
      </c>
    </row>
    <row r="139" spans="1:8" ht="45" customHeight="1" x14ac:dyDescent="0.25">
      <c r="A139" s="24"/>
      <c r="B139" s="6" t="s">
        <v>332</v>
      </c>
      <c r="C139" s="7" t="s">
        <v>333</v>
      </c>
      <c r="D139" s="8">
        <v>0</v>
      </c>
      <c r="H139" s="24"/>
    </row>
    <row r="140" spans="1:8" ht="45" customHeight="1" x14ac:dyDescent="0.25">
      <c r="A140" s="22" t="s">
        <v>334</v>
      </c>
      <c r="B140" s="6" t="s">
        <v>335</v>
      </c>
      <c r="C140" s="7" t="s">
        <v>336</v>
      </c>
      <c r="D140" s="8">
        <v>0</v>
      </c>
      <c r="H140" s="22">
        <v>0</v>
      </c>
    </row>
    <row r="141" spans="1:8" ht="45" customHeight="1" x14ac:dyDescent="0.25">
      <c r="A141" s="24"/>
      <c r="B141" s="6" t="s">
        <v>337</v>
      </c>
      <c r="C141" s="7" t="s">
        <v>338</v>
      </c>
      <c r="D141" s="8">
        <v>0</v>
      </c>
      <c r="H141" s="24"/>
    </row>
    <row r="142" spans="1:8" ht="45" customHeight="1" x14ac:dyDescent="0.25">
      <c r="A142" s="22" t="s">
        <v>339</v>
      </c>
      <c r="B142" s="6" t="s">
        <v>340</v>
      </c>
      <c r="C142" s="7" t="s">
        <v>341</v>
      </c>
      <c r="D142" s="8">
        <v>0</v>
      </c>
      <c r="H142" s="22">
        <v>10000</v>
      </c>
    </row>
    <row r="143" spans="1:8" ht="45" customHeight="1" x14ac:dyDescent="0.25">
      <c r="A143" s="24"/>
      <c r="B143" s="6" t="s">
        <v>342</v>
      </c>
      <c r="C143" s="7" t="s">
        <v>343</v>
      </c>
      <c r="D143" s="8">
        <v>0</v>
      </c>
      <c r="H143" s="24"/>
    </row>
    <row r="144" spans="1:8" ht="45" customHeight="1" x14ac:dyDescent="0.25">
      <c r="A144" s="22" t="s">
        <v>344</v>
      </c>
      <c r="B144" s="6" t="s">
        <v>345</v>
      </c>
      <c r="C144" s="7" t="s">
        <v>346</v>
      </c>
      <c r="D144" s="8">
        <f>20000</f>
        <v>20000</v>
      </c>
      <c r="H144" s="22">
        <v>0</v>
      </c>
    </row>
    <row r="145" spans="1:8" ht="45" customHeight="1" x14ac:dyDescent="0.25">
      <c r="A145" s="24"/>
      <c r="B145" s="6" t="s">
        <v>347</v>
      </c>
      <c r="C145" s="7" t="s">
        <v>348</v>
      </c>
      <c r="D145" s="8">
        <f>10000</f>
        <v>10000</v>
      </c>
      <c r="H145" s="24"/>
    </row>
    <row r="146" spans="1:8" ht="45" customHeight="1" x14ac:dyDescent="0.25">
      <c r="A146" s="22" t="s">
        <v>349</v>
      </c>
      <c r="B146" s="6" t="s">
        <v>350</v>
      </c>
      <c r="C146" s="7" t="s">
        <v>351</v>
      </c>
      <c r="D146" s="8">
        <v>0</v>
      </c>
      <c r="H146" s="22">
        <v>20000</v>
      </c>
    </row>
    <row r="147" spans="1:8" ht="45" customHeight="1" x14ac:dyDescent="0.25">
      <c r="A147" s="23"/>
      <c r="B147" s="6" t="s">
        <v>352</v>
      </c>
      <c r="C147" s="7" t="s">
        <v>353</v>
      </c>
      <c r="D147" s="8">
        <v>0</v>
      </c>
      <c r="H147" s="23"/>
    </row>
    <row r="148" spans="1:8" ht="45" customHeight="1" x14ac:dyDescent="0.25">
      <c r="A148" s="24"/>
      <c r="B148" s="6" t="s">
        <v>354</v>
      </c>
      <c r="C148" s="7" t="s">
        <v>355</v>
      </c>
      <c r="D148" s="8">
        <f>20000</f>
        <v>20000</v>
      </c>
      <c r="H148" s="24"/>
    </row>
    <row r="149" spans="1:8" ht="45" customHeight="1" x14ac:dyDescent="0.25">
      <c r="A149" s="22" t="s">
        <v>356</v>
      </c>
      <c r="B149" s="6" t="s">
        <v>357</v>
      </c>
      <c r="C149" s="7" t="s">
        <v>358</v>
      </c>
      <c r="D149" s="8">
        <v>0</v>
      </c>
      <c r="H149" s="22">
        <v>0</v>
      </c>
    </row>
    <row r="150" spans="1:8" ht="45" customHeight="1" x14ac:dyDescent="0.25">
      <c r="A150" s="23"/>
      <c r="B150" s="6" t="s">
        <v>359</v>
      </c>
      <c r="C150" s="7" t="s">
        <v>360</v>
      </c>
      <c r="D150" s="8">
        <f>30000</f>
        <v>30000</v>
      </c>
      <c r="H150" s="23"/>
    </row>
    <row r="151" spans="1:8" ht="45" customHeight="1" x14ac:dyDescent="0.25">
      <c r="A151" s="24"/>
      <c r="B151" s="6" t="s">
        <v>361</v>
      </c>
      <c r="C151" s="7" t="s">
        <v>362</v>
      </c>
      <c r="D151" s="8">
        <v>0</v>
      </c>
      <c r="H151" s="24"/>
    </row>
    <row r="152" spans="1:8" ht="45" customHeight="1" x14ac:dyDescent="0.25">
      <c r="A152" s="5" t="s">
        <v>363</v>
      </c>
      <c r="B152" s="6" t="s">
        <v>364</v>
      </c>
      <c r="C152" s="7" t="s">
        <v>365</v>
      </c>
      <c r="D152" s="8">
        <v>0</v>
      </c>
      <c r="G152" s="11" t="s">
        <v>366</v>
      </c>
      <c r="H152" s="5">
        <v>0</v>
      </c>
    </row>
    <row r="153" spans="1:8" ht="45" customHeight="1" x14ac:dyDescent="0.25">
      <c r="A153" s="22" t="s">
        <v>367</v>
      </c>
      <c r="B153" s="6" t="s">
        <v>368</v>
      </c>
      <c r="C153" s="7" t="s">
        <v>369</v>
      </c>
      <c r="D153" s="8">
        <v>0</v>
      </c>
      <c r="H153" s="22">
        <v>10000</v>
      </c>
    </row>
    <row r="154" spans="1:8" ht="45" customHeight="1" x14ac:dyDescent="0.25">
      <c r="A154" s="24"/>
      <c r="B154" s="6" t="s">
        <v>370</v>
      </c>
      <c r="C154" s="7" t="s">
        <v>371</v>
      </c>
      <c r="D154" s="8">
        <f>10000</f>
        <v>10000</v>
      </c>
      <c r="H154" s="24"/>
    </row>
    <row r="155" spans="1:8" ht="45" customHeight="1" x14ac:dyDescent="0.25">
      <c r="A155" s="22" t="s">
        <v>372</v>
      </c>
      <c r="B155" s="6" t="s">
        <v>373</v>
      </c>
      <c r="C155" s="7" t="s">
        <v>374</v>
      </c>
      <c r="D155" s="8">
        <v>0</v>
      </c>
      <c r="H155" s="22">
        <v>20000</v>
      </c>
    </row>
    <row r="156" spans="1:8" ht="45" customHeight="1" x14ac:dyDescent="0.25">
      <c r="A156" s="23"/>
      <c r="B156" s="6" t="s">
        <v>375</v>
      </c>
      <c r="C156" s="7" t="s">
        <v>376</v>
      </c>
      <c r="D156" s="8">
        <v>0</v>
      </c>
      <c r="H156" s="23"/>
    </row>
    <row r="157" spans="1:8" ht="45" customHeight="1" x14ac:dyDescent="0.25">
      <c r="A157" s="24"/>
      <c r="B157" s="6" t="s">
        <v>377</v>
      </c>
      <c r="C157" s="7" t="s">
        <v>378</v>
      </c>
      <c r="D157" s="8">
        <v>10000</v>
      </c>
      <c r="H157" s="24"/>
    </row>
    <row r="158" spans="1:8" ht="45" customHeight="1" x14ac:dyDescent="0.25">
      <c r="A158" s="22" t="s">
        <v>379</v>
      </c>
      <c r="B158" s="6" t="s">
        <v>380</v>
      </c>
      <c r="C158" s="7" t="s">
        <v>381</v>
      </c>
      <c r="D158" s="8">
        <v>0</v>
      </c>
      <c r="H158" s="22">
        <v>0</v>
      </c>
    </row>
    <row r="159" spans="1:8" ht="45" customHeight="1" x14ac:dyDescent="0.25">
      <c r="A159" s="24"/>
      <c r="B159" s="6" t="s">
        <v>382</v>
      </c>
      <c r="C159" s="7" t="s">
        <v>383</v>
      </c>
      <c r="D159" s="8">
        <v>0</v>
      </c>
      <c r="H159" s="24"/>
    </row>
    <row r="160" spans="1:8" ht="45" customHeight="1" x14ac:dyDescent="0.25">
      <c r="A160" s="22" t="s">
        <v>384</v>
      </c>
      <c r="B160" s="6" t="s">
        <v>385</v>
      </c>
      <c r="C160" s="7" t="s">
        <v>386</v>
      </c>
      <c r="D160" s="8">
        <f>20000</f>
        <v>20000</v>
      </c>
      <c r="H160" s="22">
        <v>0</v>
      </c>
    </row>
    <row r="161" spans="1:8" ht="45" customHeight="1" x14ac:dyDescent="0.25">
      <c r="A161" s="24"/>
      <c r="B161" s="6" t="s">
        <v>387</v>
      </c>
      <c r="C161" s="7" t="s">
        <v>388</v>
      </c>
      <c r="D161" s="8">
        <f>50000</f>
        <v>50000</v>
      </c>
      <c r="H161" s="24"/>
    </row>
    <row r="162" spans="1:8" ht="45" customHeight="1" x14ac:dyDescent="0.25">
      <c r="A162" s="22" t="s">
        <v>389</v>
      </c>
      <c r="B162" s="6" t="s">
        <v>390</v>
      </c>
      <c r="C162" s="7" t="s">
        <v>391</v>
      </c>
      <c r="D162" s="8">
        <v>10000</v>
      </c>
      <c r="H162" s="22">
        <v>0</v>
      </c>
    </row>
    <row r="163" spans="1:8" ht="45" customHeight="1" x14ac:dyDescent="0.25">
      <c r="A163" s="24"/>
      <c r="B163" s="6" t="s">
        <v>392</v>
      </c>
      <c r="C163" s="7" t="s">
        <v>393</v>
      </c>
      <c r="D163" s="8">
        <v>0</v>
      </c>
      <c r="H163" s="24"/>
    </row>
    <row r="164" spans="1:8" ht="45" customHeight="1" x14ac:dyDescent="0.25">
      <c r="A164" s="22" t="s">
        <v>394</v>
      </c>
      <c r="B164" s="6" t="s">
        <v>395</v>
      </c>
      <c r="C164" s="7" t="s">
        <v>396</v>
      </c>
      <c r="D164" s="8">
        <v>0</v>
      </c>
      <c r="H164" s="22">
        <v>0</v>
      </c>
    </row>
    <row r="165" spans="1:8" ht="45" customHeight="1" x14ac:dyDescent="0.25">
      <c r="A165" s="24"/>
      <c r="B165" s="6" t="s">
        <v>397</v>
      </c>
      <c r="C165" s="7" t="s">
        <v>398</v>
      </c>
      <c r="D165" s="8">
        <v>0</v>
      </c>
      <c r="H165" s="24"/>
    </row>
    <row r="166" spans="1:8" ht="45" customHeight="1" x14ac:dyDescent="0.25">
      <c r="A166" s="22" t="s">
        <v>399</v>
      </c>
      <c r="B166" s="6" t="s">
        <v>400</v>
      </c>
      <c r="C166" s="7" t="s">
        <v>401</v>
      </c>
      <c r="D166" s="8">
        <f>10000</f>
        <v>10000</v>
      </c>
      <c r="H166" s="22">
        <v>0</v>
      </c>
    </row>
    <row r="167" spans="1:8" ht="45" customHeight="1" x14ac:dyDescent="0.25">
      <c r="A167" s="24"/>
      <c r="B167" s="6" t="s">
        <v>402</v>
      </c>
      <c r="C167" s="7" t="s">
        <v>403</v>
      </c>
      <c r="D167" s="8">
        <v>0</v>
      </c>
      <c r="H167" s="24"/>
    </row>
    <row r="168" spans="1:8" ht="45" customHeight="1" x14ac:dyDescent="0.25">
      <c r="A168" s="22" t="s">
        <v>404</v>
      </c>
      <c r="B168" s="6" t="s">
        <v>405</v>
      </c>
      <c r="C168" s="7" t="s">
        <v>406</v>
      </c>
      <c r="D168" s="8">
        <v>0</v>
      </c>
      <c r="H168" s="22">
        <v>0</v>
      </c>
    </row>
    <row r="169" spans="1:8" ht="45" customHeight="1" x14ac:dyDescent="0.25">
      <c r="A169" s="24"/>
      <c r="B169" s="6" t="s">
        <v>407</v>
      </c>
      <c r="C169" s="7" t="s">
        <v>408</v>
      </c>
      <c r="D169" s="8">
        <f>20000</f>
        <v>20000</v>
      </c>
      <c r="H169" s="24"/>
    </row>
    <row r="170" spans="1:8" ht="45" customHeight="1" x14ac:dyDescent="0.25">
      <c r="A170" s="5" t="s">
        <v>409</v>
      </c>
      <c r="B170" s="6" t="s">
        <v>410</v>
      </c>
      <c r="C170" s="7" t="s">
        <v>411</v>
      </c>
      <c r="D170" s="8">
        <v>20000</v>
      </c>
      <c r="H170" s="5">
        <v>0</v>
      </c>
    </row>
    <row r="171" spans="1:8" ht="45" customHeight="1" x14ac:dyDescent="0.25">
      <c r="A171" s="22" t="s">
        <v>412</v>
      </c>
      <c r="B171" s="6" t="s">
        <v>413</v>
      </c>
      <c r="C171" s="7" t="s">
        <v>414</v>
      </c>
      <c r="D171" s="8">
        <v>0</v>
      </c>
      <c r="H171" s="22">
        <v>0</v>
      </c>
    </row>
    <row r="172" spans="1:8" ht="45" customHeight="1" x14ac:dyDescent="0.25">
      <c r="A172" s="24"/>
      <c r="B172" s="6" t="s">
        <v>415</v>
      </c>
      <c r="C172" s="7" t="s">
        <v>416</v>
      </c>
      <c r="D172" s="8">
        <f>40000</f>
        <v>40000</v>
      </c>
      <c r="H172" s="24"/>
    </row>
    <row r="173" spans="1:8" ht="45" customHeight="1" x14ac:dyDescent="0.25">
      <c r="A173" s="22" t="s">
        <v>417</v>
      </c>
      <c r="B173" s="6" t="s">
        <v>418</v>
      </c>
      <c r="C173" s="7" t="s">
        <v>419</v>
      </c>
      <c r="D173" s="8">
        <v>0</v>
      </c>
      <c r="H173" s="22">
        <v>10000</v>
      </c>
    </row>
    <row r="174" spans="1:8" ht="45" customHeight="1" x14ac:dyDescent="0.25">
      <c r="A174" s="23"/>
      <c r="B174" s="6" t="s">
        <v>420</v>
      </c>
      <c r="C174" s="7" t="s">
        <v>421</v>
      </c>
      <c r="D174" s="8">
        <v>0</v>
      </c>
      <c r="H174" s="23"/>
    </row>
    <row r="175" spans="1:8" ht="45" customHeight="1" x14ac:dyDescent="0.25">
      <c r="A175" s="23"/>
      <c r="B175" s="6" t="s">
        <v>422</v>
      </c>
      <c r="C175" s="7" t="s">
        <v>423</v>
      </c>
      <c r="D175" s="8">
        <v>30000</v>
      </c>
      <c r="H175" s="23"/>
    </row>
    <row r="176" spans="1:8" ht="45" customHeight="1" x14ac:dyDescent="0.25">
      <c r="A176" s="24"/>
      <c r="B176" s="6" t="s">
        <v>424</v>
      </c>
      <c r="C176" s="7" t="s">
        <v>425</v>
      </c>
      <c r="D176" s="8">
        <v>0</v>
      </c>
      <c r="H176" s="24"/>
    </row>
    <row r="177" spans="1:8" ht="45" customHeight="1" x14ac:dyDescent="0.25">
      <c r="A177" s="5" t="s">
        <v>426</v>
      </c>
      <c r="B177" s="6" t="s">
        <v>427</v>
      </c>
      <c r="C177" s="7" t="s">
        <v>428</v>
      </c>
      <c r="D177" s="8">
        <v>10000</v>
      </c>
      <c r="H177" s="5">
        <v>0</v>
      </c>
    </row>
    <row r="178" spans="1:8" ht="45" customHeight="1" x14ac:dyDescent="0.25">
      <c r="A178" s="22" t="s">
        <v>429</v>
      </c>
      <c r="B178" s="6" t="s">
        <v>430</v>
      </c>
      <c r="C178" s="7" t="s">
        <v>431</v>
      </c>
      <c r="D178" s="8">
        <f>10000</f>
        <v>10000</v>
      </c>
      <c r="H178" s="22">
        <v>0</v>
      </c>
    </row>
    <row r="179" spans="1:8" ht="45" customHeight="1" x14ac:dyDescent="0.25">
      <c r="A179" s="24"/>
      <c r="B179" s="6" t="s">
        <v>432</v>
      </c>
      <c r="C179" s="7" t="s">
        <v>433</v>
      </c>
      <c r="D179" s="8">
        <v>0</v>
      </c>
      <c r="H179" s="24"/>
    </row>
    <row r="180" spans="1:8" ht="45" customHeight="1" x14ac:dyDescent="0.25">
      <c r="A180" s="5" t="s">
        <v>434</v>
      </c>
      <c r="B180" s="6" t="s">
        <v>435</v>
      </c>
      <c r="C180" s="7" t="s">
        <v>436</v>
      </c>
      <c r="D180" s="8">
        <f>10000</f>
        <v>10000</v>
      </c>
      <c r="H180" s="5">
        <v>0</v>
      </c>
    </row>
    <row r="181" spans="1:8" ht="45" customHeight="1" x14ac:dyDescent="0.25">
      <c r="A181" s="22" t="s">
        <v>437</v>
      </c>
      <c r="B181" s="6" t="s">
        <v>438</v>
      </c>
      <c r="C181" s="7" t="s">
        <v>439</v>
      </c>
      <c r="D181" s="8">
        <f>10000</f>
        <v>10000</v>
      </c>
      <c r="H181" s="22">
        <v>0</v>
      </c>
    </row>
    <row r="182" spans="1:8" ht="45" customHeight="1" x14ac:dyDescent="0.25">
      <c r="A182" s="23"/>
      <c r="B182" s="6" t="s">
        <v>440</v>
      </c>
      <c r="C182" s="7" t="s">
        <v>441</v>
      </c>
      <c r="D182" s="8">
        <f>20000</f>
        <v>20000</v>
      </c>
      <c r="H182" s="23"/>
    </row>
    <row r="183" spans="1:8" ht="45" customHeight="1" x14ac:dyDescent="0.25">
      <c r="A183" s="24"/>
      <c r="B183" s="6" t="s">
        <v>442</v>
      </c>
      <c r="C183" s="7" t="s">
        <v>443</v>
      </c>
      <c r="D183" s="8">
        <f>20000</f>
        <v>20000</v>
      </c>
      <c r="H183" s="24"/>
    </row>
    <row r="184" spans="1:8" ht="45" customHeight="1" x14ac:dyDescent="0.25">
      <c r="A184" s="22" t="s">
        <v>444</v>
      </c>
      <c r="B184" s="6" t="s">
        <v>445</v>
      </c>
      <c r="C184" s="7" t="s">
        <v>446</v>
      </c>
      <c r="D184" s="8">
        <f>10000</f>
        <v>10000</v>
      </c>
      <c r="H184" s="22">
        <v>20000</v>
      </c>
    </row>
    <row r="185" spans="1:8" ht="45" customHeight="1" x14ac:dyDescent="0.25">
      <c r="A185" s="23"/>
      <c r="B185" s="6" t="s">
        <v>447</v>
      </c>
      <c r="C185" s="7" t="s">
        <v>448</v>
      </c>
      <c r="D185" s="8">
        <v>0</v>
      </c>
      <c r="H185" s="23"/>
    </row>
    <row r="186" spans="1:8" ht="45" customHeight="1" x14ac:dyDescent="0.25">
      <c r="A186" s="24"/>
      <c r="B186" s="6" t="s">
        <v>449</v>
      </c>
      <c r="C186" s="7" t="s">
        <v>450</v>
      </c>
      <c r="D186" s="8">
        <v>0</v>
      </c>
      <c r="H186" s="24"/>
    </row>
    <row r="187" spans="1:8" ht="45" customHeight="1" x14ac:dyDescent="0.25">
      <c r="A187" s="22" t="s">
        <v>451</v>
      </c>
      <c r="B187" s="6" t="s">
        <v>452</v>
      </c>
      <c r="C187" s="7" t="s">
        <v>453</v>
      </c>
      <c r="D187" s="8">
        <v>0</v>
      </c>
      <c r="H187" s="22">
        <v>0</v>
      </c>
    </row>
    <row r="188" spans="1:8" ht="45" customHeight="1" x14ac:dyDescent="0.25">
      <c r="A188" s="23"/>
      <c r="B188" s="6" t="s">
        <v>454</v>
      </c>
      <c r="C188" s="7" t="s">
        <v>455</v>
      </c>
      <c r="D188" s="8">
        <f>20000</f>
        <v>20000</v>
      </c>
      <c r="H188" s="23"/>
    </row>
    <row r="189" spans="1:8" ht="45" customHeight="1" x14ac:dyDescent="0.25">
      <c r="A189" s="24"/>
      <c r="B189" s="6" t="s">
        <v>456</v>
      </c>
      <c r="C189" s="7" t="s">
        <v>457</v>
      </c>
      <c r="D189" s="8">
        <f>20000</f>
        <v>20000</v>
      </c>
      <c r="H189" s="24"/>
    </row>
    <row r="190" spans="1:8" ht="45" customHeight="1" x14ac:dyDescent="0.25">
      <c r="A190" s="22" t="s">
        <v>458</v>
      </c>
      <c r="B190" s="6" t="s">
        <v>459</v>
      </c>
      <c r="C190" s="7" t="s">
        <v>460</v>
      </c>
      <c r="D190" s="8">
        <f>30000</f>
        <v>30000</v>
      </c>
      <c r="H190" s="22">
        <v>0</v>
      </c>
    </row>
    <row r="191" spans="1:8" ht="45" customHeight="1" x14ac:dyDescent="0.25">
      <c r="A191" s="23"/>
      <c r="B191" s="6" t="s">
        <v>461</v>
      </c>
      <c r="C191" s="7" t="s">
        <v>462</v>
      </c>
      <c r="D191" s="8">
        <v>20000</v>
      </c>
      <c r="H191" s="23"/>
    </row>
    <row r="192" spans="1:8" ht="45" customHeight="1" x14ac:dyDescent="0.25">
      <c r="A192" s="23"/>
      <c r="B192" s="6" t="s">
        <v>463</v>
      </c>
      <c r="C192" s="7" t="s">
        <v>464</v>
      </c>
      <c r="D192" s="8">
        <v>0</v>
      </c>
      <c r="H192" s="23"/>
    </row>
    <row r="193" spans="1:8" ht="45" customHeight="1" x14ac:dyDescent="0.25">
      <c r="A193" s="24"/>
      <c r="B193" s="6" t="s">
        <v>465</v>
      </c>
      <c r="C193" s="7" t="s">
        <v>466</v>
      </c>
      <c r="D193" s="8">
        <v>0</v>
      </c>
      <c r="H193" s="24"/>
    </row>
    <row r="194" spans="1:8" ht="45" customHeight="1" x14ac:dyDescent="0.25">
      <c r="A194" s="22" t="s">
        <v>467</v>
      </c>
      <c r="B194" s="6" t="s">
        <v>468</v>
      </c>
      <c r="C194" s="7" t="s">
        <v>469</v>
      </c>
      <c r="D194" s="8">
        <v>0</v>
      </c>
      <c r="H194" s="22">
        <v>50000</v>
      </c>
    </row>
    <row r="195" spans="1:8" ht="45" customHeight="1" x14ac:dyDescent="0.25">
      <c r="A195" s="23"/>
      <c r="B195" s="6" t="s">
        <v>470</v>
      </c>
      <c r="C195" s="7" t="s">
        <v>471</v>
      </c>
      <c r="D195" s="8">
        <v>0</v>
      </c>
      <c r="H195" s="23"/>
    </row>
    <row r="196" spans="1:8" ht="45" customHeight="1" x14ac:dyDescent="0.25">
      <c r="A196" s="24"/>
      <c r="B196" s="6" t="s">
        <v>472</v>
      </c>
      <c r="C196" s="7" t="s">
        <v>473</v>
      </c>
      <c r="D196" s="8">
        <v>50000</v>
      </c>
      <c r="H196" s="24"/>
    </row>
    <row r="197" spans="1:8" ht="45" customHeight="1" x14ac:dyDescent="0.25">
      <c r="A197" s="22" t="s">
        <v>474</v>
      </c>
      <c r="B197" s="6" t="s">
        <v>475</v>
      </c>
      <c r="C197" s="7" t="s">
        <v>476</v>
      </c>
      <c r="D197" s="8">
        <v>0</v>
      </c>
      <c r="H197" s="22">
        <v>20000</v>
      </c>
    </row>
    <row r="198" spans="1:8" ht="45" customHeight="1" x14ac:dyDescent="0.25">
      <c r="A198" s="23"/>
      <c r="B198" s="6" t="s">
        <v>477</v>
      </c>
      <c r="C198" s="7" t="s">
        <v>478</v>
      </c>
      <c r="D198" s="8">
        <v>0</v>
      </c>
      <c r="H198" s="23"/>
    </row>
    <row r="199" spans="1:8" ht="45" customHeight="1" x14ac:dyDescent="0.25">
      <c r="A199" s="23"/>
      <c r="B199" s="6" t="s">
        <v>479</v>
      </c>
      <c r="C199" s="7" t="s">
        <v>480</v>
      </c>
      <c r="D199" s="8">
        <v>0</v>
      </c>
      <c r="H199" s="23"/>
    </row>
    <row r="200" spans="1:8" ht="45" customHeight="1" x14ac:dyDescent="0.25">
      <c r="A200" s="24"/>
      <c r="B200" s="6" t="s">
        <v>481</v>
      </c>
      <c r="C200" s="7" t="s">
        <v>482</v>
      </c>
      <c r="D200" s="8">
        <v>0</v>
      </c>
      <c r="H200" s="24"/>
    </row>
    <row r="201" spans="1:8" ht="45" customHeight="1" x14ac:dyDescent="0.25">
      <c r="A201" s="5" t="s">
        <v>483</v>
      </c>
      <c r="B201" s="6" t="s">
        <v>484</v>
      </c>
      <c r="C201" s="7" t="s">
        <v>485</v>
      </c>
      <c r="D201" s="8">
        <v>0</v>
      </c>
      <c r="H201" s="5">
        <v>0</v>
      </c>
    </row>
    <row r="202" spans="1:8" ht="45" customHeight="1" x14ac:dyDescent="0.25">
      <c r="A202" s="22" t="s">
        <v>486</v>
      </c>
      <c r="B202" s="6" t="s">
        <v>487</v>
      </c>
      <c r="C202" s="7" t="s">
        <v>488</v>
      </c>
      <c r="D202" s="8">
        <f>10000</f>
        <v>10000</v>
      </c>
      <c r="H202" s="22">
        <v>0</v>
      </c>
    </row>
    <row r="203" spans="1:8" ht="45" customHeight="1" x14ac:dyDescent="0.25">
      <c r="A203" s="23"/>
      <c r="B203" s="6" t="s">
        <v>489</v>
      </c>
      <c r="C203" s="7" t="s">
        <v>490</v>
      </c>
      <c r="D203" s="8">
        <f>0</f>
        <v>0</v>
      </c>
      <c r="H203" s="23"/>
    </row>
    <row r="204" spans="1:8" ht="45" customHeight="1" x14ac:dyDescent="0.25">
      <c r="A204" s="24"/>
      <c r="B204" s="6" t="s">
        <v>491</v>
      </c>
      <c r="C204" s="12" t="s">
        <v>492</v>
      </c>
      <c r="D204" s="8">
        <f>30000</f>
        <v>30000</v>
      </c>
      <c r="H204" s="24"/>
    </row>
    <row r="205" spans="1:8" ht="45" customHeight="1" x14ac:dyDescent="0.25">
      <c r="A205" s="5" t="s">
        <v>493</v>
      </c>
      <c r="B205" s="6" t="s">
        <v>494</v>
      </c>
      <c r="C205" s="7" t="s">
        <v>495</v>
      </c>
      <c r="D205" s="8">
        <v>0</v>
      </c>
      <c r="H205" s="5">
        <v>0</v>
      </c>
    </row>
    <row r="206" spans="1:8" ht="45" customHeight="1" x14ac:dyDescent="0.25">
      <c r="A206" s="22" t="s">
        <v>496</v>
      </c>
      <c r="B206" s="6" t="s">
        <v>497</v>
      </c>
      <c r="C206" s="7" t="s">
        <v>498</v>
      </c>
      <c r="D206" s="8">
        <v>0</v>
      </c>
      <c r="H206" s="22">
        <v>0</v>
      </c>
    </row>
    <row r="207" spans="1:8" ht="45" customHeight="1" x14ac:dyDescent="0.25">
      <c r="A207" s="24"/>
      <c r="B207" s="6" t="s">
        <v>499</v>
      </c>
      <c r="C207" s="7" t="s">
        <v>500</v>
      </c>
      <c r="D207" s="8">
        <v>40000</v>
      </c>
      <c r="H207" s="24"/>
    </row>
    <row r="208" spans="1:8" ht="45" customHeight="1" x14ac:dyDescent="0.25">
      <c r="A208" s="5" t="s">
        <v>501</v>
      </c>
      <c r="B208" s="6" t="s">
        <v>502</v>
      </c>
      <c r="C208" s="7" t="s">
        <v>503</v>
      </c>
      <c r="D208" s="8">
        <v>0</v>
      </c>
      <c r="H208" s="5">
        <v>0</v>
      </c>
    </row>
    <row r="209" spans="1:8" ht="45" customHeight="1" x14ac:dyDescent="0.25">
      <c r="A209" s="5" t="s">
        <v>504</v>
      </c>
      <c r="B209" s="6" t="s">
        <v>505</v>
      </c>
      <c r="C209" s="7" t="s">
        <v>506</v>
      </c>
      <c r="D209" s="8">
        <v>10000</v>
      </c>
      <c r="H209" s="5">
        <v>0</v>
      </c>
    </row>
    <row r="210" spans="1:8" ht="45" customHeight="1" x14ac:dyDescent="0.25">
      <c r="A210" s="22" t="s">
        <v>507</v>
      </c>
      <c r="B210" s="6" t="s">
        <v>508</v>
      </c>
      <c r="C210" s="7" t="s">
        <v>509</v>
      </c>
      <c r="D210" s="8">
        <v>0</v>
      </c>
      <c r="H210" s="22">
        <v>0</v>
      </c>
    </row>
    <row r="211" spans="1:8" ht="45" customHeight="1" x14ac:dyDescent="0.25">
      <c r="A211" s="24"/>
      <c r="B211" s="6" t="s">
        <v>510</v>
      </c>
      <c r="C211" s="7" t="s">
        <v>511</v>
      </c>
      <c r="D211" s="8">
        <f>20000</f>
        <v>20000</v>
      </c>
      <c r="G211" s="13"/>
      <c r="H211" s="24"/>
    </row>
    <row r="212" spans="1:8" ht="45" customHeight="1" x14ac:dyDescent="0.25">
      <c r="A212" s="5" t="s">
        <v>512</v>
      </c>
      <c r="B212" s="6" t="s">
        <v>513</v>
      </c>
      <c r="C212" s="7" t="s">
        <v>514</v>
      </c>
      <c r="D212" s="8">
        <f>2000</f>
        <v>2000</v>
      </c>
      <c r="H212" s="5">
        <v>2000</v>
      </c>
    </row>
    <row r="213" spans="1:8" ht="45" customHeight="1" x14ac:dyDescent="0.25">
      <c r="A213" s="5" t="s">
        <v>515</v>
      </c>
      <c r="B213" s="6" t="s">
        <v>516</v>
      </c>
      <c r="C213" s="7" t="s">
        <v>517</v>
      </c>
      <c r="D213" s="8">
        <f>25000</f>
        <v>25000</v>
      </c>
      <c r="H213" s="5">
        <v>0</v>
      </c>
    </row>
    <row r="214" spans="1:8" ht="45" customHeight="1" x14ac:dyDescent="0.25">
      <c r="A214" s="22" t="s">
        <v>518</v>
      </c>
      <c r="B214" s="6" t="s">
        <v>519</v>
      </c>
      <c r="C214" s="7" t="s">
        <v>520</v>
      </c>
      <c r="D214" s="8">
        <f>40000-10000</f>
        <v>30000</v>
      </c>
      <c r="H214" s="22">
        <v>10000</v>
      </c>
    </row>
    <row r="215" spans="1:8" ht="45" customHeight="1" x14ac:dyDescent="0.25">
      <c r="A215" s="23"/>
      <c r="B215" s="6" t="s">
        <v>521</v>
      </c>
      <c r="C215" s="7" t="s">
        <v>522</v>
      </c>
      <c r="D215" s="8">
        <f>40000</f>
        <v>40000</v>
      </c>
      <c r="H215" s="23"/>
    </row>
    <row r="216" spans="1:8" ht="45" customHeight="1" x14ac:dyDescent="0.25">
      <c r="A216" s="23"/>
      <c r="B216" s="6" t="s">
        <v>523</v>
      </c>
      <c r="C216" s="7" t="s">
        <v>524</v>
      </c>
      <c r="D216" s="8">
        <v>0</v>
      </c>
      <c r="H216" s="23"/>
    </row>
    <row r="217" spans="1:8" ht="45" customHeight="1" x14ac:dyDescent="0.25">
      <c r="A217" s="24"/>
      <c r="B217" s="6" t="s">
        <v>525</v>
      </c>
      <c r="C217" s="7" t="s">
        <v>526</v>
      </c>
      <c r="D217" s="8">
        <v>0</v>
      </c>
      <c r="H217" s="24"/>
    </row>
    <row r="218" spans="1:8" ht="45" customHeight="1" x14ac:dyDescent="0.25">
      <c r="A218" s="5" t="s">
        <v>527</v>
      </c>
      <c r="B218" s="6" t="s">
        <v>23</v>
      </c>
      <c r="C218" s="7" t="s">
        <v>24</v>
      </c>
      <c r="D218" s="8">
        <v>10000</v>
      </c>
      <c r="H218" s="5">
        <v>0</v>
      </c>
    </row>
    <row r="219" spans="1:8" ht="45" customHeight="1" x14ac:dyDescent="0.25">
      <c r="A219" s="22" t="s">
        <v>528</v>
      </c>
      <c r="B219" s="6" t="s">
        <v>529</v>
      </c>
      <c r="C219" s="7" t="s">
        <v>530</v>
      </c>
      <c r="D219" s="8">
        <v>0</v>
      </c>
      <c r="H219" s="22">
        <v>0</v>
      </c>
    </row>
    <row r="220" spans="1:8" ht="45" customHeight="1" x14ac:dyDescent="0.25">
      <c r="A220" s="24"/>
      <c r="B220" s="6" t="s">
        <v>531</v>
      </c>
      <c r="C220" s="7" t="s">
        <v>532</v>
      </c>
      <c r="D220" s="8">
        <v>0</v>
      </c>
      <c r="H220" s="24"/>
    </row>
    <row r="221" spans="1:8" ht="45" customHeight="1" x14ac:dyDescent="0.25">
      <c r="A221" s="22" t="s">
        <v>533</v>
      </c>
      <c r="B221" s="6" t="s">
        <v>534</v>
      </c>
      <c r="C221" s="7" t="s">
        <v>535</v>
      </c>
      <c r="D221" s="8">
        <v>0</v>
      </c>
      <c r="H221" s="22">
        <v>0</v>
      </c>
    </row>
    <row r="222" spans="1:8" ht="45" customHeight="1" x14ac:dyDescent="0.25">
      <c r="A222" s="24"/>
      <c r="B222" s="6" t="s">
        <v>536</v>
      </c>
      <c r="C222" s="7" t="s">
        <v>537</v>
      </c>
      <c r="D222" s="8">
        <v>0</v>
      </c>
      <c r="H222" s="24"/>
    </row>
    <row r="223" spans="1:8" ht="45" customHeight="1" x14ac:dyDescent="0.25">
      <c r="A223" s="22" t="s">
        <v>538</v>
      </c>
      <c r="B223" s="6" t="s">
        <v>539</v>
      </c>
      <c r="C223" s="7" t="s">
        <v>540</v>
      </c>
      <c r="D223" s="8">
        <v>0</v>
      </c>
      <c r="H223" s="22">
        <v>20000</v>
      </c>
    </row>
    <row r="224" spans="1:8" ht="45" customHeight="1" x14ac:dyDescent="0.25">
      <c r="A224" s="23"/>
      <c r="B224" s="6" t="s">
        <v>541</v>
      </c>
      <c r="C224" s="7" t="s">
        <v>542</v>
      </c>
      <c r="D224" s="8">
        <v>0</v>
      </c>
      <c r="H224" s="23"/>
    </row>
    <row r="225" spans="1:8" ht="45" customHeight="1" x14ac:dyDescent="0.25">
      <c r="A225" s="24"/>
      <c r="B225" s="6" t="s">
        <v>543</v>
      </c>
      <c r="C225" s="7" t="s">
        <v>544</v>
      </c>
      <c r="D225" s="8">
        <v>30000</v>
      </c>
      <c r="H225" s="24"/>
    </row>
    <row r="226" spans="1:8" ht="45" customHeight="1" x14ac:dyDescent="0.25">
      <c r="A226" s="22" t="s">
        <v>545</v>
      </c>
      <c r="B226" s="6" t="s">
        <v>546</v>
      </c>
      <c r="C226" s="7" t="s">
        <v>547</v>
      </c>
      <c r="D226" s="8">
        <f>10000</f>
        <v>10000</v>
      </c>
      <c r="H226" s="22">
        <v>0</v>
      </c>
    </row>
    <row r="227" spans="1:8" ht="45" customHeight="1" x14ac:dyDescent="0.25">
      <c r="A227" s="24"/>
      <c r="B227" s="6" t="s">
        <v>548</v>
      </c>
      <c r="C227" s="7" t="s">
        <v>549</v>
      </c>
      <c r="D227" s="8">
        <v>0</v>
      </c>
      <c r="H227" s="24"/>
    </row>
    <row r="228" spans="1:8" ht="45" customHeight="1" x14ac:dyDescent="0.25">
      <c r="A228" s="5" t="s">
        <v>550</v>
      </c>
      <c r="B228" s="6" t="s">
        <v>551</v>
      </c>
      <c r="C228" s="7" t="s">
        <v>552</v>
      </c>
      <c r="D228" s="8">
        <v>0</v>
      </c>
      <c r="H228" s="5">
        <v>0</v>
      </c>
    </row>
    <row r="229" spans="1:8" ht="45" customHeight="1" x14ac:dyDescent="0.25">
      <c r="A229" s="22" t="s">
        <v>553</v>
      </c>
      <c r="B229" s="6" t="s">
        <v>554</v>
      </c>
      <c r="C229" s="7" t="s">
        <v>555</v>
      </c>
      <c r="D229" s="8">
        <v>0</v>
      </c>
      <c r="H229" s="22">
        <v>10000</v>
      </c>
    </row>
    <row r="230" spans="1:8" ht="45" customHeight="1" x14ac:dyDescent="0.25">
      <c r="A230" s="23"/>
      <c r="B230" s="6" t="s">
        <v>556</v>
      </c>
      <c r="C230" s="7" t="s">
        <v>557</v>
      </c>
      <c r="D230" s="8">
        <f>10000</f>
        <v>10000</v>
      </c>
      <c r="H230" s="23"/>
    </row>
    <row r="231" spans="1:8" ht="45" customHeight="1" x14ac:dyDescent="0.25">
      <c r="A231" s="23"/>
      <c r="B231" s="6" t="s">
        <v>558</v>
      </c>
      <c r="C231" s="7" t="s">
        <v>559</v>
      </c>
      <c r="D231" s="8">
        <v>0</v>
      </c>
      <c r="H231" s="23"/>
    </row>
    <row r="232" spans="1:8" ht="45" customHeight="1" x14ac:dyDescent="0.25">
      <c r="A232" s="24"/>
      <c r="B232" s="6" t="s">
        <v>560</v>
      </c>
      <c r="C232" s="7" t="s">
        <v>561</v>
      </c>
      <c r="D232" s="8">
        <v>0</v>
      </c>
      <c r="H232" s="24"/>
    </row>
    <row r="233" spans="1:8" ht="45" customHeight="1" x14ac:dyDescent="0.25">
      <c r="A233" s="5" t="s">
        <v>562</v>
      </c>
      <c r="B233" s="6" t="s">
        <v>563</v>
      </c>
      <c r="C233" s="7" t="s">
        <v>564</v>
      </c>
      <c r="D233" s="8">
        <v>0</v>
      </c>
      <c r="H233" s="5">
        <v>0</v>
      </c>
    </row>
    <row r="234" spans="1:8" ht="45" customHeight="1" x14ac:dyDescent="0.25">
      <c r="A234" s="5" t="s">
        <v>565</v>
      </c>
      <c r="B234" s="6" t="s">
        <v>566</v>
      </c>
      <c r="C234" s="7" t="s">
        <v>567</v>
      </c>
      <c r="D234" s="8">
        <v>0</v>
      </c>
      <c r="G234" s="14" t="s">
        <v>568</v>
      </c>
      <c r="H234" s="5">
        <v>0</v>
      </c>
    </row>
    <row r="235" spans="1:8" ht="45" customHeight="1" x14ac:dyDescent="0.25">
      <c r="A235" s="22" t="s">
        <v>569</v>
      </c>
      <c r="B235" s="6" t="s">
        <v>570</v>
      </c>
      <c r="C235" s="7" t="s">
        <v>571</v>
      </c>
      <c r="D235" s="8">
        <v>0</v>
      </c>
      <c r="H235" s="22">
        <v>0</v>
      </c>
    </row>
    <row r="236" spans="1:8" ht="45" customHeight="1" x14ac:dyDescent="0.25">
      <c r="A236" s="24"/>
      <c r="B236" s="6" t="s">
        <v>572</v>
      </c>
      <c r="C236" s="7" t="s">
        <v>573</v>
      </c>
      <c r="D236" s="8">
        <v>0</v>
      </c>
      <c r="H236" s="24"/>
    </row>
    <row r="237" spans="1:8" ht="45" customHeight="1" x14ac:dyDescent="0.25">
      <c r="A237" s="22" t="s">
        <v>574</v>
      </c>
      <c r="B237" s="11" t="s">
        <v>575</v>
      </c>
      <c r="C237" s="7" t="s">
        <v>576</v>
      </c>
      <c r="D237" s="8">
        <v>0</v>
      </c>
      <c r="H237" s="22">
        <v>0</v>
      </c>
    </row>
    <row r="238" spans="1:8" ht="45" customHeight="1" x14ac:dyDescent="0.25">
      <c r="A238" s="23"/>
      <c r="B238" s="6" t="s">
        <v>577</v>
      </c>
      <c r="C238" s="7" t="s">
        <v>578</v>
      </c>
      <c r="D238" s="8">
        <v>0</v>
      </c>
      <c r="H238" s="23"/>
    </row>
    <row r="239" spans="1:8" ht="45" customHeight="1" x14ac:dyDescent="0.25">
      <c r="A239" s="23"/>
      <c r="B239" s="15" t="s">
        <v>579</v>
      </c>
      <c r="C239" s="7" t="s">
        <v>580</v>
      </c>
      <c r="D239" s="8">
        <f>10000</f>
        <v>10000</v>
      </c>
      <c r="H239" s="23"/>
    </row>
    <row r="240" spans="1:8" ht="45" customHeight="1" x14ac:dyDescent="0.25">
      <c r="A240" s="24"/>
      <c r="B240" s="6" t="s">
        <v>581</v>
      </c>
      <c r="C240" s="7" t="s">
        <v>582</v>
      </c>
      <c r="D240" s="8">
        <v>0</v>
      </c>
      <c r="H240" s="24"/>
    </row>
    <row r="241" spans="1:8" ht="45" customHeight="1" x14ac:dyDescent="0.25">
      <c r="A241" s="22" t="s">
        <v>583</v>
      </c>
      <c r="B241" s="6" t="s">
        <v>584</v>
      </c>
      <c r="C241" s="7" t="s">
        <v>585</v>
      </c>
      <c r="D241" s="8">
        <v>20000</v>
      </c>
      <c r="H241" s="22">
        <v>10000</v>
      </c>
    </row>
    <row r="242" spans="1:8" ht="45" customHeight="1" x14ac:dyDescent="0.25">
      <c r="A242" s="24"/>
      <c r="B242" s="6" t="s">
        <v>586</v>
      </c>
      <c r="C242" s="7" t="s">
        <v>587</v>
      </c>
      <c r="D242" s="8">
        <v>0</v>
      </c>
      <c r="H242" s="24"/>
    </row>
    <row r="243" spans="1:8" ht="45" customHeight="1" x14ac:dyDescent="0.25">
      <c r="A243" s="22" t="s">
        <v>588</v>
      </c>
      <c r="B243" s="6" t="s">
        <v>589</v>
      </c>
      <c r="C243" s="7" t="s">
        <v>590</v>
      </c>
      <c r="D243" s="8">
        <f>20000-10000</f>
        <v>10000</v>
      </c>
      <c r="H243" s="22">
        <v>0</v>
      </c>
    </row>
    <row r="244" spans="1:8" ht="45" customHeight="1" x14ac:dyDescent="0.25">
      <c r="A244" s="24"/>
      <c r="B244" s="6" t="s">
        <v>591</v>
      </c>
      <c r="C244" s="7" t="s">
        <v>592</v>
      </c>
      <c r="D244" s="8">
        <v>0</v>
      </c>
      <c r="H244" s="24"/>
    </row>
    <row r="245" spans="1:8" ht="45" customHeight="1" x14ac:dyDescent="0.25">
      <c r="A245" s="22" t="s">
        <v>593</v>
      </c>
      <c r="B245" s="6" t="s">
        <v>594</v>
      </c>
      <c r="C245" s="7" t="s">
        <v>595</v>
      </c>
      <c r="D245" s="8">
        <v>0</v>
      </c>
      <c r="H245" s="22">
        <v>10000</v>
      </c>
    </row>
    <row r="246" spans="1:8" ht="45" customHeight="1" x14ac:dyDescent="0.25">
      <c r="A246" s="23"/>
      <c r="B246" s="6" t="s">
        <v>596</v>
      </c>
      <c r="C246" s="7" t="s">
        <v>597</v>
      </c>
      <c r="D246" s="8">
        <v>0</v>
      </c>
      <c r="H246" s="23"/>
    </row>
    <row r="247" spans="1:8" ht="45" customHeight="1" x14ac:dyDescent="0.25">
      <c r="A247" s="24"/>
      <c r="B247" s="6" t="s">
        <v>598</v>
      </c>
      <c r="C247" s="7" t="s">
        <v>599</v>
      </c>
      <c r="D247" s="8">
        <f>40000-10000</f>
        <v>30000</v>
      </c>
      <c r="H247" s="24"/>
    </row>
    <row r="248" spans="1:8" ht="45" customHeight="1" x14ac:dyDescent="0.25">
      <c r="A248" s="22" t="s">
        <v>600</v>
      </c>
      <c r="B248" s="6" t="s">
        <v>601</v>
      </c>
      <c r="C248" s="7" t="s">
        <v>602</v>
      </c>
      <c r="D248" s="8">
        <f>20000</f>
        <v>20000</v>
      </c>
      <c r="H248" s="22">
        <v>0</v>
      </c>
    </row>
    <row r="249" spans="1:8" ht="45" customHeight="1" x14ac:dyDescent="0.25">
      <c r="A249" s="24"/>
      <c r="B249" s="6" t="s">
        <v>603</v>
      </c>
      <c r="C249" s="7" t="s">
        <v>604</v>
      </c>
      <c r="D249" s="8">
        <f>20000</f>
        <v>20000</v>
      </c>
      <c r="H249" s="24"/>
    </row>
    <row r="250" spans="1:8" ht="45" customHeight="1" x14ac:dyDescent="0.25">
      <c r="A250" s="22" t="s">
        <v>605</v>
      </c>
      <c r="B250" s="6" t="s">
        <v>606</v>
      </c>
      <c r="C250" s="7" t="s">
        <v>607</v>
      </c>
      <c r="D250" s="8">
        <f>20000</f>
        <v>20000</v>
      </c>
      <c r="H250" s="22">
        <v>0</v>
      </c>
    </row>
    <row r="251" spans="1:8" ht="45" customHeight="1" x14ac:dyDescent="0.25">
      <c r="A251" s="23"/>
      <c r="B251" s="6" t="s">
        <v>608</v>
      </c>
      <c r="C251" s="7" t="s">
        <v>609</v>
      </c>
      <c r="D251" s="8">
        <v>0</v>
      </c>
      <c r="H251" s="23"/>
    </row>
    <row r="252" spans="1:8" ht="45" customHeight="1" x14ac:dyDescent="0.25">
      <c r="A252" s="24"/>
      <c r="B252" s="6" t="s">
        <v>610</v>
      </c>
      <c r="C252" s="7" t="s">
        <v>611</v>
      </c>
      <c r="D252" s="8">
        <f>20000</f>
        <v>20000</v>
      </c>
      <c r="H252" s="24"/>
    </row>
    <row r="253" spans="1:8" ht="45" customHeight="1" x14ac:dyDescent="0.25">
      <c r="A253" s="22" t="s">
        <v>612</v>
      </c>
      <c r="B253" s="6" t="s">
        <v>613</v>
      </c>
      <c r="C253" s="7" t="s">
        <v>614</v>
      </c>
      <c r="D253" s="8">
        <f>20000</f>
        <v>20000</v>
      </c>
      <c r="H253" s="22">
        <v>0</v>
      </c>
    </row>
    <row r="254" spans="1:8" ht="45" customHeight="1" x14ac:dyDescent="0.25">
      <c r="A254" s="23"/>
      <c r="B254" s="6" t="s">
        <v>615</v>
      </c>
      <c r="C254" s="7" t="s">
        <v>616</v>
      </c>
      <c r="D254" s="8">
        <v>0</v>
      </c>
      <c r="H254" s="23"/>
    </row>
    <row r="255" spans="1:8" ht="45" customHeight="1" x14ac:dyDescent="0.25">
      <c r="A255" s="24"/>
      <c r="B255" s="6" t="s">
        <v>617</v>
      </c>
      <c r="C255" s="7" t="s">
        <v>618</v>
      </c>
      <c r="D255" s="8">
        <f>40000</f>
        <v>40000</v>
      </c>
      <c r="H255" s="24"/>
    </row>
    <row r="256" spans="1:8" ht="45" customHeight="1" x14ac:dyDescent="0.25">
      <c r="A256" s="22" t="s">
        <v>619</v>
      </c>
      <c r="B256" s="6" t="s">
        <v>620</v>
      </c>
      <c r="C256" s="7" t="s">
        <v>621</v>
      </c>
      <c r="D256" s="8">
        <v>0</v>
      </c>
      <c r="H256" s="22">
        <v>10000</v>
      </c>
    </row>
    <row r="257" spans="1:8" ht="45" customHeight="1" x14ac:dyDescent="0.25">
      <c r="A257" s="23"/>
      <c r="B257" s="6" t="s">
        <v>622</v>
      </c>
      <c r="C257" s="7" t="s">
        <v>623</v>
      </c>
      <c r="D257" s="8">
        <v>0</v>
      </c>
      <c r="H257" s="23"/>
    </row>
    <row r="258" spans="1:8" ht="45" customHeight="1" x14ac:dyDescent="0.25">
      <c r="A258" s="24"/>
      <c r="B258" s="6" t="s">
        <v>624</v>
      </c>
      <c r="C258" s="7" t="s">
        <v>625</v>
      </c>
      <c r="D258" s="8">
        <f>20000</f>
        <v>20000</v>
      </c>
      <c r="H258" s="24"/>
    </row>
    <row r="259" spans="1:8" ht="45" customHeight="1" x14ac:dyDescent="0.25">
      <c r="A259" s="22" t="s">
        <v>626</v>
      </c>
      <c r="B259" s="6" t="s">
        <v>627</v>
      </c>
      <c r="C259" s="7" t="s">
        <v>628</v>
      </c>
      <c r="D259" s="8">
        <v>0</v>
      </c>
      <c r="H259" s="22">
        <v>10000</v>
      </c>
    </row>
    <row r="260" spans="1:8" ht="45" customHeight="1" x14ac:dyDescent="0.25">
      <c r="A260" s="23"/>
      <c r="B260" s="6" t="s">
        <v>629</v>
      </c>
      <c r="C260" s="7" t="s">
        <v>630</v>
      </c>
      <c r="D260" s="8">
        <v>30000</v>
      </c>
      <c r="H260" s="23"/>
    </row>
    <row r="261" spans="1:8" ht="45" customHeight="1" x14ac:dyDescent="0.25">
      <c r="A261" s="23"/>
      <c r="B261" s="6" t="s">
        <v>631</v>
      </c>
      <c r="C261" s="7" t="s">
        <v>632</v>
      </c>
      <c r="D261" s="8">
        <v>0</v>
      </c>
      <c r="H261" s="23"/>
    </row>
    <row r="262" spans="1:8" ht="45" customHeight="1" x14ac:dyDescent="0.25">
      <c r="A262" s="24"/>
      <c r="B262" s="6" t="s">
        <v>633</v>
      </c>
      <c r="C262" s="7" t="s">
        <v>634</v>
      </c>
      <c r="D262" s="8">
        <v>20000</v>
      </c>
      <c r="H262" s="24"/>
    </row>
    <row r="263" spans="1:8" ht="45" customHeight="1" x14ac:dyDescent="0.25">
      <c r="A263" s="22" t="s">
        <v>635</v>
      </c>
      <c r="B263" s="6" t="s">
        <v>636</v>
      </c>
      <c r="C263" s="7" t="s">
        <v>637</v>
      </c>
      <c r="D263" s="8">
        <v>0</v>
      </c>
      <c r="H263" s="22">
        <v>10000</v>
      </c>
    </row>
    <row r="264" spans="1:8" ht="45" customHeight="1" x14ac:dyDescent="0.25">
      <c r="A264" s="23"/>
      <c r="B264" s="6" t="s">
        <v>638</v>
      </c>
      <c r="C264" s="7" t="s">
        <v>639</v>
      </c>
      <c r="D264" s="8">
        <v>0</v>
      </c>
      <c r="H264" s="23"/>
    </row>
    <row r="265" spans="1:8" ht="45" customHeight="1" x14ac:dyDescent="0.25">
      <c r="A265" s="23"/>
      <c r="B265" s="6" t="s">
        <v>640</v>
      </c>
      <c r="C265" s="7" t="s">
        <v>641</v>
      </c>
      <c r="D265" s="8">
        <f>40000</f>
        <v>40000</v>
      </c>
      <c r="H265" s="23"/>
    </row>
    <row r="266" spans="1:8" ht="45" customHeight="1" x14ac:dyDescent="0.25">
      <c r="A266" s="24"/>
      <c r="B266" s="6" t="s">
        <v>642</v>
      </c>
      <c r="C266" s="7" t="s">
        <v>643</v>
      </c>
      <c r="D266" s="8">
        <v>10000</v>
      </c>
      <c r="H266" s="24"/>
    </row>
    <row r="267" spans="1:8" ht="45" customHeight="1" x14ac:dyDescent="0.25">
      <c r="A267" s="22" t="s">
        <v>644</v>
      </c>
      <c r="B267" s="6" t="s">
        <v>645</v>
      </c>
      <c r="C267" s="7" t="s">
        <v>646</v>
      </c>
      <c r="D267" s="8">
        <f>40000</f>
        <v>40000</v>
      </c>
      <c r="H267" s="22">
        <v>0</v>
      </c>
    </row>
    <row r="268" spans="1:8" ht="45" customHeight="1" x14ac:dyDescent="0.25">
      <c r="A268" s="23"/>
      <c r="B268" s="6" t="s">
        <v>647</v>
      </c>
      <c r="C268" s="7" t="s">
        <v>648</v>
      </c>
      <c r="D268" s="8">
        <v>0</v>
      </c>
      <c r="H268" s="23"/>
    </row>
    <row r="269" spans="1:8" ht="45" customHeight="1" x14ac:dyDescent="0.25">
      <c r="A269" s="24"/>
      <c r="B269" s="6" t="s">
        <v>649</v>
      </c>
      <c r="C269" s="7" t="s">
        <v>650</v>
      </c>
      <c r="D269" s="8">
        <v>0</v>
      </c>
      <c r="H269" s="24"/>
    </row>
    <row r="270" spans="1:8" ht="45" customHeight="1" x14ac:dyDescent="0.25">
      <c r="A270" s="22" t="s">
        <v>651</v>
      </c>
      <c r="B270" s="6" t="s">
        <v>652</v>
      </c>
      <c r="C270" s="7" t="s">
        <v>653</v>
      </c>
      <c r="D270" s="8">
        <v>60000</v>
      </c>
      <c r="H270" s="22">
        <v>20000</v>
      </c>
    </row>
    <row r="271" spans="1:8" ht="45" customHeight="1" x14ac:dyDescent="0.25">
      <c r="A271" s="23"/>
      <c r="B271" s="6" t="s">
        <v>654</v>
      </c>
      <c r="C271" s="7" t="s">
        <v>655</v>
      </c>
      <c r="D271" s="8">
        <f>70000-10000-10000-10000-10000-10000</f>
        <v>20000</v>
      </c>
      <c r="H271" s="23"/>
    </row>
    <row r="272" spans="1:8" ht="45" customHeight="1" x14ac:dyDescent="0.25">
      <c r="A272" s="24"/>
      <c r="B272" s="6" t="s">
        <v>656</v>
      </c>
      <c r="C272" s="7" t="s">
        <v>657</v>
      </c>
      <c r="D272" s="8">
        <f>10000</f>
        <v>10000</v>
      </c>
      <c r="H272" s="24"/>
    </row>
    <row r="273" spans="1:8" ht="45" customHeight="1" x14ac:dyDescent="0.25">
      <c r="A273" s="22" t="s">
        <v>658</v>
      </c>
      <c r="B273" s="6" t="s">
        <v>659</v>
      </c>
      <c r="C273" s="7" t="s">
        <v>660</v>
      </c>
      <c r="D273" s="8">
        <v>0</v>
      </c>
      <c r="H273" s="22">
        <v>0</v>
      </c>
    </row>
    <row r="274" spans="1:8" ht="45" customHeight="1" x14ac:dyDescent="0.25">
      <c r="A274" s="24"/>
      <c r="B274" s="6" t="s">
        <v>661</v>
      </c>
      <c r="C274" s="7" t="s">
        <v>662</v>
      </c>
      <c r="D274" s="8">
        <v>0</v>
      </c>
      <c r="H274" s="24"/>
    </row>
    <row r="275" spans="1:8" ht="45" customHeight="1" x14ac:dyDescent="0.25">
      <c r="A275" s="5" t="s">
        <v>663</v>
      </c>
      <c r="B275" s="6" t="s">
        <v>664</v>
      </c>
      <c r="C275" s="7" t="s">
        <v>665</v>
      </c>
      <c r="D275" s="8">
        <v>0</v>
      </c>
      <c r="H275" s="5">
        <v>0</v>
      </c>
    </row>
    <row r="276" spans="1:8" ht="45" customHeight="1" x14ac:dyDescent="0.25">
      <c r="A276" s="22" t="s">
        <v>666</v>
      </c>
      <c r="B276" s="6" t="s">
        <v>667</v>
      </c>
      <c r="C276" s="7" t="s">
        <v>668</v>
      </c>
      <c r="D276" s="8">
        <v>0</v>
      </c>
      <c r="H276" s="22">
        <v>10000</v>
      </c>
    </row>
    <row r="277" spans="1:8" ht="45" customHeight="1" x14ac:dyDescent="0.25">
      <c r="A277" s="23"/>
      <c r="B277" s="6" t="s">
        <v>669</v>
      </c>
      <c r="C277" s="7" t="s">
        <v>670</v>
      </c>
      <c r="D277" s="8">
        <v>0</v>
      </c>
      <c r="H277" s="23"/>
    </row>
    <row r="278" spans="1:8" ht="45" customHeight="1" x14ac:dyDescent="0.25">
      <c r="A278" s="23"/>
      <c r="B278" s="6" t="s">
        <v>671</v>
      </c>
      <c r="C278" s="7" t="s">
        <v>672</v>
      </c>
      <c r="D278" s="8">
        <f>20000</f>
        <v>20000</v>
      </c>
      <c r="H278" s="23"/>
    </row>
    <row r="279" spans="1:8" ht="45" customHeight="1" x14ac:dyDescent="0.25">
      <c r="A279" s="24"/>
      <c r="B279" s="6" t="s">
        <v>673</v>
      </c>
      <c r="C279" s="7" t="s">
        <v>674</v>
      </c>
      <c r="D279" s="8">
        <v>0</v>
      </c>
      <c r="H279" s="24"/>
    </row>
    <row r="280" spans="1:8" ht="45" customHeight="1" x14ac:dyDescent="0.25">
      <c r="A280" s="22" t="s">
        <v>675</v>
      </c>
      <c r="B280" s="6" t="s">
        <v>676</v>
      </c>
      <c r="C280" s="7" t="s">
        <v>677</v>
      </c>
      <c r="D280" s="8">
        <v>0</v>
      </c>
      <c r="H280" s="22">
        <v>0</v>
      </c>
    </row>
    <row r="281" spans="1:8" ht="45" customHeight="1" x14ac:dyDescent="0.25">
      <c r="A281" s="23"/>
      <c r="B281" s="6" t="s">
        <v>678</v>
      </c>
      <c r="C281" s="7" t="s">
        <v>679</v>
      </c>
      <c r="D281" s="8">
        <v>40000</v>
      </c>
      <c r="H281" s="23"/>
    </row>
    <row r="282" spans="1:8" ht="45" customHeight="1" x14ac:dyDescent="0.25">
      <c r="A282" s="24"/>
      <c r="B282" s="6" t="s">
        <v>680</v>
      </c>
      <c r="C282" s="7" t="s">
        <v>681</v>
      </c>
      <c r="D282" s="8">
        <v>0</v>
      </c>
      <c r="H282" s="24"/>
    </row>
    <row r="283" spans="1:8" ht="45" customHeight="1" x14ac:dyDescent="0.25">
      <c r="A283" s="22" t="s">
        <v>682</v>
      </c>
      <c r="B283" s="6" t="s">
        <v>683</v>
      </c>
      <c r="C283" s="7" t="s">
        <v>684</v>
      </c>
      <c r="D283" s="8">
        <f>40000-10000-10000</f>
        <v>20000</v>
      </c>
      <c r="H283" s="22">
        <v>0</v>
      </c>
    </row>
    <row r="284" spans="1:8" ht="45" customHeight="1" x14ac:dyDescent="0.25">
      <c r="A284" s="24"/>
      <c r="B284" s="6" t="s">
        <v>685</v>
      </c>
      <c r="C284" s="7" t="s">
        <v>686</v>
      </c>
      <c r="D284" s="8">
        <v>0</v>
      </c>
      <c r="H284" s="24"/>
    </row>
    <row r="285" spans="1:8" ht="45" customHeight="1" x14ac:dyDescent="0.25">
      <c r="A285" s="22" t="s">
        <v>687</v>
      </c>
      <c r="B285" s="6" t="s">
        <v>688</v>
      </c>
      <c r="C285" s="7" t="s">
        <v>689</v>
      </c>
      <c r="D285" s="8">
        <f>20000</f>
        <v>20000</v>
      </c>
      <c r="H285" s="22">
        <v>0</v>
      </c>
    </row>
    <row r="286" spans="1:8" ht="45" customHeight="1" x14ac:dyDescent="0.25">
      <c r="A286" s="24"/>
      <c r="B286" s="6" t="s">
        <v>690</v>
      </c>
      <c r="C286" s="7" t="s">
        <v>691</v>
      </c>
      <c r="D286" s="8">
        <f>20000-10000</f>
        <v>10000</v>
      </c>
      <c r="H286" s="24"/>
    </row>
    <row r="287" spans="1:8" ht="45" customHeight="1" x14ac:dyDescent="0.25">
      <c r="A287" s="22" t="s">
        <v>692</v>
      </c>
      <c r="B287" s="6" t="s">
        <v>693</v>
      </c>
      <c r="C287" s="7" t="s">
        <v>694</v>
      </c>
      <c r="D287" s="8">
        <v>0</v>
      </c>
      <c r="H287" s="22">
        <v>10000</v>
      </c>
    </row>
    <row r="288" spans="1:8" ht="45" customHeight="1" x14ac:dyDescent="0.25">
      <c r="A288" s="23"/>
      <c r="B288" s="6" t="s">
        <v>695</v>
      </c>
      <c r="C288" s="7" t="s">
        <v>696</v>
      </c>
      <c r="D288" s="8">
        <v>10000</v>
      </c>
      <c r="H288" s="23"/>
    </row>
    <row r="289" spans="1:8" ht="45" customHeight="1" x14ac:dyDescent="0.25">
      <c r="A289" s="24"/>
      <c r="B289" s="6" t="s">
        <v>697</v>
      </c>
      <c r="C289" s="7" t="s">
        <v>698</v>
      </c>
      <c r="D289" s="8">
        <f>30000+30000</f>
        <v>60000</v>
      </c>
      <c r="H289" s="24"/>
    </row>
    <row r="290" spans="1:8" ht="45" customHeight="1" x14ac:dyDescent="0.25">
      <c r="A290" s="22" t="s">
        <v>699</v>
      </c>
      <c r="B290" s="6" t="s">
        <v>700</v>
      </c>
      <c r="C290" s="7" t="s">
        <v>701</v>
      </c>
      <c r="D290" s="8">
        <v>0</v>
      </c>
      <c r="H290" s="22">
        <v>30000</v>
      </c>
    </row>
    <row r="291" spans="1:8" ht="45" customHeight="1" x14ac:dyDescent="0.25">
      <c r="A291" s="23"/>
      <c r="B291" s="6" t="s">
        <v>702</v>
      </c>
      <c r="C291" s="7" t="s">
        <v>703</v>
      </c>
      <c r="D291" s="8">
        <f>30000</f>
        <v>30000</v>
      </c>
      <c r="H291" s="23"/>
    </row>
    <row r="292" spans="1:8" ht="45" customHeight="1" x14ac:dyDescent="0.25">
      <c r="A292" s="24"/>
      <c r="B292" s="6" t="s">
        <v>704</v>
      </c>
      <c r="C292" s="7" t="s">
        <v>705</v>
      </c>
      <c r="D292" s="8">
        <v>0</v>
      </c>
      <c r="H292" s="24"/>
    </row>
    <row r="293" spans="1:8" ht="45" customHeight="1" x14ac:dyDescent="0.25">
      <c r="A293" s="22" t="s">
        <v>706</v>
      </c>
      <c r="B293" s="6" t="s">
        <v>707</v>
      </c>
      <c r="C293" s="7" t="s">
        <v>708</v>
      </c>
      <c r="D293" s="8">
        <v>0</v>
      </c>
      <c r="H293" s="22">
        <v>10000</v>
      </c>
    </row>
    <row r="294" spans="1:8" ht="45" customHeight="1" x14ac:dyDescent="0.25">
      <c r="A294" s="23"/>
      <c r="B294" s="6" t="s">
        <v>709</v>
      </c>
      <c r="C294" s="7" t="s">
        <v>710</v>
      </c>
      <c r="D294" s="8">
        <v>0</v>
      </c>
      <c r="H294" s="23"/>
    </row>
    <row r="295" spans="1:8" ht="45" customHeight="1" x14ac:dyDescent="0.25">
      <c r="A295" s="24"/>
      <c r="B295" s="6" t="s">
        <v>711</v>
      </c>
      <c r="C295" s="7" t="s">
        <v>712</v>
      </c>
      <c r="D295" s="8">
        <v>0</v>
      </c>
      <c r="H295" s="24"/>
    </row>
    <row r="296" spans="1:8" ht="45" customHeight="1" x14ac:dyDescent="0.25">
      <c r="A296" s="5" t="s">
        <v>713</v>
      </c>
      <c r="B296" s="6" t="s">
        <v>714</v>
      </c>
      <c r="C296" s="7" t="s">
        <v>715</v>
      </c>
      <c r="D296" s="8">
        <v>0</v>
      </c>
      <c r="F296" s="9">
        <v>15000</v>
      </c>
      <c r="H296" s="5">
        <v>0</v>
      </c>
    </row>
    <row r="297" spans="1:8" ht="45" customHeight="1" x14ac:dyDescent="0.25">
      <c r="A297" s="22" t="s">
        <v>716</v>
      </c>
      <c r="B297" s="6" t="s">
        <v>717</v>
      </c>
      <c r="C297" s="7" t="s">
        <v>718</v>
      </c>
      <c r="D297" s="8">
        <v>0</v>
      </c>
      <c r="H297" s="22">
        <v>10000</v>
      </c>
    </row>
    <row r="298" spans="1:8" ht="45" customHeight="1" x14ac:dyDescent="0.25">
      <c r="A298" s="23"/>
      <c r="B298" s="6" t="s">
        <v>719</v>
      </c>
      <c r="C298" s="7" t="s">
        <v>720</v>
      </c>
      <c r="D298" s="8">
        <f>20000</f>
        <v>20000</v>
      </c>
      <c r="H298" s="23"/>
    </row>
    <row r="299" spans="1:8" ht="45" customHeight="1" x14ac:dyDescent="0.25">
      <c r="A299" s="23"/>
      <c r="B299" s="6" t="s">
        <v>721</v>
      </c>
      <c r="C299" s="7" t="s">
        <v>722</v>
      </c>
      <c r="D299" s="8">
        <f>20000</f>
        <v>20000</v>
      </c>
      <c r="H299" s="23"/>
    </row>
    <row r="300" spans="1:8" ht="45" customHeight="1" x14ac:dyDescent="0.25">
      <c r="A300" s="24"/>
      <c r="B300" s="6" t="s">
        <v>723</v>
      </c>
      <c r="C300" s="7" t="s">
        <v>724</v>
      </c>
      <c r="D300" s="8">
        <v>0</v>
      </c>
      <c r="H300" s="24"/>
    </row>
    <row r="301" spans="1:8" ht="45" customHeight="1" x14ac:dyDescent="0.25">
      <c r="A301" s="22" t="s">
        <v>725</v>
      </c>
      <c r="B301" s="6" t="s">
        <v>726</v>
      </c>
      <c r="C301" s="7" t="s">
        <v>727</v>
      </c>
      <c r="D301" s="8">
        <v>0</v>
      </c>
      <c r="H301" s="22">
        <v>50000</v>
      </c>
    </row>
    <row r="302" spans="1:8" ht="45" customHeight="1" x14ac:dyDescent="0.25">
      <c r="A302" s="24"/>
      <c r="B302" s="7" t="s">
        <v>728</v>
      </c>
      <c r="C302" s="7" t="s">
        <v>729</v>
      </c>
      <c r="D302" s="8">
        <f>40000-10000</f>
        <v>30000</v>
      </c>
      <c r="E302" s="9">
        <v>20000</v>
      </c>
      <c r="G302" s="16" t="s">
        <v>730</v>
      </c>
      <c r="H302" s="24"/>
    </row>
    <row r="303" spans="1:8" ht="45" customHeight="1" x14ac:dyDescent="0.25">
      <c r="A303" s="22" t="s">
        <v>731</v>
      </c>
      <c r="B303" s="6" t="s">
        <v>732</v>
      </c>
      <c r="C303" s="7" t="s">
        <v>733</v>
      </c>
      <c r="D303" s="8">
        <v>0</v>
      </c>
      <c r="H303" s="22">
        <v>0</v>
      </c>
    </row>
    <row r="304" spans="1:8" ht="45" customHeight="1" x14ac:dyDescent="0.25">
      <c r="A304" s="23"/>
      <c r="B304" s="7" t="s">
        <v>734</v>
      </c>
      <c r="C304" s="7" t="s">
        <v>735</v>
      </c>
      <c r="D304" s="8">
        <v>0</v>
      </c>
      <c r="H304" s="23"/>
    </row>
    <row r="305" spans="1:8" ht="45" customHeight="1" x14ac:dyDescent="0.25">
      <c r="A305" s="24"/>
      <c r="B305" s="7" t="s">
        <v>736</v>
      </c>
      <c r="C305" s="7" t="s">
        <v>737</v>
      </c>
      <c r="D305" s="8">
        <f>10000</f>
        <v>10000</v>
      </c>
      <c r="H305" s="24"/>
    </row>
    <row r="306" spans="1:8" ht="45" customHeight="1" x14ac:dyDescent="0.25">
      <c r="A306" s="22" t="s">
        <v>738</v>
      </c>
      <c r="B306" s="6" t="s">
        <v>739</v>
      </c>
      <c r="C306" s="7" t="s">
        <v>740</v>
      </c>
      <c r="D306" s="8">
        <v>0</v>
      </c>
      <c r="H306" s="22">
        <v>0</v>
      </c>
    </row>
    <row r="307" spans="1:8" ht="45" customHeight="1" x14ac:dyDescent="0.25">
      <c r="A307" s="24"/>
      <c r="B307" s="6" t="s">
        <v>741</v>
      </c>
      <c r="C307" s="7" t="s">
        <v>742</v>
      </c>
      <c r="D307" s="8">
        <v>20000</v>
      </c>
      <c r="H307" s="24"/>
    </row>
    <row r="308" spans="1:8" ht="45" customHeight="1" x14ac:dyDescent="0.25">
      <c r="A308" s="22" t="s">
        <v>743</v>
      </c>
      <c r="B308" s="6" t="s">
        <v>744</v>
      </c>
      <c r="C308" s="7" t="s">
        <v>745</v>
      </c>
      <c r="D308" s="8">
        <v>0</v>
      </c>
      <c r="H308" s="22">
        <v>10000</v>
      </c>
    </row>
    <row r="309" spans="1:8" ht="45" customHeight="1" x14ac:dyDescent="0.25">
      <c r="A309" s="23"/>
      <c r="B309" s="6" t="s">
        <v>746</v>
      </c>
      <c r="C309" s="7" t="s">
        <v>747</v>
      </c>
      <c r="D309" s="8">
        <v>0</v>
      </c>
      <c r="H309" s="23"/>
    </row>
    <row r="310" spans="1:8" ht="45" customHeight="1" x14ac:dyDescent="0.25">
      <c r="A310" s="23"/>
      <c r="B310" s="6" t="s">
        <v>748</v>
      </c>
      <c r="C310" s="7" t="s">
        <v>749</v>
      </c>
      <c r="D310" s="8">
        <v>0</v>
      </c>
      <c r="H310" s="23"/>
    </row>
    <row r="311" spans="1:8" ht="45" customHeight="1" x14ac:dyDescent="0.25">
      <c r="A311" s="24"/>
      <c r="B311" s="6" t="s">
        <v>750</v>
      </c>
      <c r="C311" s="7" t="s">
        <v>751</v>
      </c>
      <c r="D311" s="8">
        <v>0</v>
      </c>
      <c r="H311" s="24"/>
    </row>
    <row r="312" spans="1:8" ht="45" customHeight="1" x14ac:dyDescent="0.25">
      <c r="A312" s="22" t="s">
        <v>752</v>
      </c>
      <c r="B312" s="6" t="s">
        <v>753</v>
      </c>
      <c r="C312" s="7" t="s">
        <v>754</v>
      </c>
      <c r="D312" s="8">
        <f>20000</f>
        <v>20000</v>
      </c>
      <c r="H312" s="22">
        <v>0</v>
      </c>
    </row>
    <row r="313" spans="1:8" ht="45" customHeight="1" x14ac:dyDescent="0.25">
      <c r="A313" s="23"/>
      <c r="B313" s="6" t="s">
        <v>755</v>
      </c>
      <c r="C313" s="7" t="s">
        <v>756</v>
      </c>
      <c r="D313" s="8">
        <v>0</v>
      </c>
      <c r="H313" s="23"/>
    </row>
    <row r="314" spans="1:8" ht="45" customHeight="1" x14ac:dyDescent="0.25">
      <c r="A314" s="24"/>
      <c r="B314" s="6" t="s">
        <v>757</v>
      </c>
      <c r="C314" s="7" t="s">
        <v>758</v>
      </c>
      <c r="D314" s="8">
        <f>10000</f>
        <v>10000</v>
      </c>
      <c r="H314" s="24"/>
    </row>
    <row r="315" spans="1:8" ht="45" customHeight="1" x14ac:dyDescent="0.25">
      <c r="A315" s="5" t="s">
        <v>759</v>
      </c>
      <c r="B315" s="6" t="s">
        <v>760</v>
      </c>
      <c r="C315" s="7" t="s">
        <v>761</v>
      </c>
      <c r="D315" s="8">
        <v>20000</v>
      </c>
      <c r="H315" s="5">
        <v>0</v>
      </c>
    </row>
    <row r="316" spans="1:8" ht="45" customHeight="1" x14ac:dyDescent="0.25">
      <c r="A316" s="22" t="s">
        <v>762</v>
      </c>
      <c r="B316" s="6" t="s">
        <v>763</v>
      </c>
      <c r="C316" s="7" t="s">
        <v>764</v>
      </c>
      <c r="D316" s="8">
        <f>10000</f>
        <v>10000</v>
      </c>
      <c r="H316" s="22">
        <v>0</v>
      </c>
    </row>
    <row r="317" spans="1:8" ht="45" customHeight="1" x14ac:dyDescent="0.25">
      <c r="A317" s="24"/>
      <c r="B317" s="6" t="s">
        <v>765</v>
      </c>
      <c r="C317" s="7" t="s">
        <v>766</v>
      </c>
      <c r="D317" s="8">
        <v>0</v>
      </c>
      <c r="H317" s="24"/>
    </row>
    <row r="318" spans="1:8" ht="45" customHeight="1" x14ac:dyDescent="0.25">
      <c r="A318" s="5" t="s">
        <v>767</v>
      </c>
      <c r="B318" s="6" t="s">
        <v>768</v>
      </c>
      <c r="C318" s="7" t="s">
        <v>769</v>
      </c>
      <c r="D318" s="8">
        <v>0</v>
      </c>
      <c r="H318" s="5">
        <v>0</v>
      </c>
    </row>
    <row r="319" spans="1:8" ht="45" customHeight="1" x14ac:dyDescent="0.25">
      <c r="A319" s="5" t="s">
        <v>770</v>
      </c>
      <c r="B319" s="6" t="s">
        <v>771</v>
      </c>
      <c r="C319" s="7" t="s">
        <v>772</v>
      </c>
      <c r="D319" s="8">
        <v>20000</v>
      </c>
      <c r="H319" s="5">
        <v>0</v>
      </c>
    </row>
    <row r="320" spans="1:8" ht="45" customHeight="1" x14ac:dyDescent="0.25">
      <c r="A320" s="22" t="s">
        <v>773</v>
      </c>
      <c r="B320" s="6" t="s">
        <v>774</v>
      </c>
      <c r="C320" s="7" t="s">
        <v>775</v>
      </c>
      <c r="D320" s="8">
        <v>0</v>
      </c>
      <c r="H320" s="22">
        <v>0</v>
      </c>
    </row>
    <row r="321" spans="1:8" ht="45" customHeight="1" x14ac:dyDescent="0.25">
      <c r="A321" s="24"/>
      <c r="B321" s="6" t="s">
        <v>776</v>
      </c>
      <c r="C321" s="7" t="s">
        <v>777</v>
      </c>
      <c r="D321" s="8">
        <f>20000</f>
        <v>20000</v>
      </c>
      <c r="H321" s="24"/>
    </row>
    <row r="322" spans="1:8" ht="45" customHeight="1" x14ac:dyDescent="0.25">
      <c r="A322" s="22" t="s">
        <v>778</v>
      </c>
      <c r="B322" s="6" t="s">
        <v>779</v>
      </c>
      <c r="C322" s="7" t="s">
        <v>780</v>
      </c>
      <c r="D322" s="8">
        <v>20000</v>
      </c>
      <c r="H322" s="22">
        <v>0</v>
      </c>
    </row>
    <row r="323" spans="1:8" ht="45" customHeight="1" x14ac:dyDescent="0.25">
      <c r="A323" s="24"/>
      <c r="B323" s="6" t="s">
        <v>781</v>
      </c>
      <c r="C323" s="7" t="s">
        <v>782</v>
      </c>
      <c r="D323" s="8">
        <v>0</v>
      </c>
      <c r="H323" s="24"/>
    </row>
    <row r="324" spans="1:8" ht="45" customHeight="1" x14ac:dyDescent="0.25">
      <c r="A324" s="22" t="s">
        <v>783</v>
      </c>
      <c r="B324" s="6" t="s">
        <v>784</v>
      </c>
      <c r="C324" s="7" t="s">
        <v>785</v>
      </c>
      <c r="D324" s="8">
        <v>0</v>
      </c>
      <c r="H324" s="22">
        <v>0</v>
      </c>
    </row>
    <row r="325" spans="1:8" ht="45" customHeight="1" x14ac:dyDescent="0.25">
      <c r="A325" s="24"/>
      <c r="B325" s="6" t="s">
        <v>786</v>
      </c>
      <c r="C325" s="7" t="s">
        <v>787</v>
      </c>
      <c r="D325" s="8">
        <f>60000-10000</f>
        <v>50000</v>
      </c>
      <c r="H325" s="24"/>
    </row>
    <row r="326" spans="1:8" ht="45" customHeight="1" x14ac:dyDescent="0.25">
      <c r="A326" s="22" t="s">
        <v>788</v>
      </c>
      <c r="B326" s="6" t="s">
        <v>789</v>
      </c>
      <c r="C326" s="7" t="s">
        <v>790</v>
      </c>
      <c r="D326" s="8">
        <f>6000</f>
        <v>6000</v>
      </c>
      <c r="H326" s="22">
        <v>0</v>
      </c>
    </row>
    <row r="327" spans="1:8" ht="45" customHeight="1" x14ac:dyDescent="0.25">
      <c r="A327" s="24"/>
      <c r="B327" s="6" t="s">
        <v>791</v>
      </c>
      <c r="C327" s="7" t="s">
        <v>792</v>
      </c>
      <c r="D327" s="8">
        <v>0</v>
      </c>
      <c r="H327" s="24"/>
    </row>
    <row r="328" spans="1:8" ht="45" customHeight="1" x14ac:dyDescent="0.25">
      <c r="A328" s="5" t="s">
        <v>793</v>
      </c>
      <c r="B328" s="7" t="s">
        <v>794</v>
      </c>
      <c r="C328" s="7" t="s">
        <v>795</v>
      </c>
      <c r="D328" s="8">
        <f>15000-5000</f>
        <v>10000</v>
      </c>
      <c r="H328" s="5">
        <v>0</v>
      </c>
    </row>
    <row r="329" spans="1:8" ht="45" customHeight="1" x14ac:dyDescent="0.25">
      <c r="A329" s="22" t="s">
        <v>796</v>
      </c>
      <c r="B329" s="6" t="s">
        <v>797</v>
      </c>
      <c r="C329" s="7" t="s">
        <v>798</v>
      </c>
      <c r="D329" s="8">
        <v>0</v>
      </c>
      <c r="H329" s="22">
        <v>0</v>
      </c>
    </row>
    <row r="330" spans="1:8" ht="45" customHeight="1" x14ac:dyDescent="0.25">
      <c r="A330" s="24"/>
      <c r="B330" s="6" t="s">
        <v>799</v>
      </c>
      <c r="C330" s="7" t="s">
        <v>800</v>
      </c>
      <c r="D330" s="8">
        <f>20000</f>
        <v>20000</v>
      </c>
      <c r="H330" s="24"/>
    </row>
    <row r="331" spans="1:8" ht="45" customHeight="1" x14ac:dyDescent="0.25">
      <c r="A331" s="22" t="s">
        <v>801</v>
      </c>
      <c r="B331" s="6" t="s">
        <v>802</v>
      </c>
      <c r="C331" s="7" t="s">
        <v>803</v>
      </c>
      <c r="D331" s="8">
        <v>0</v>
      </c>
      <c r="H331" s="22">
        <v>0</v>
      </c>
    </row>
    <row r="332" spans="1:8" ht="45" customHeight="1" x14ac:dyDescent="0.25">
      <c r="A332" s="23"/>
      <c r="B332" s="6" t="s">
        <v>804</v>
      </c>
      <c r="C332" s="7" t="s">
        <v>805</v>
      </c>
      <c r="D332" s="8">
        <v>0</v>
      </c>
      <c r="H332" s="23"/>
    </row>
    <row r="333" spans="1:8" ht="45" customHeight="1" x14ac:dyDescent="0.25">
      <c r="A333" s="24"/>
      <c r="B333" s="6" t="s">
        <v>806</v>
      </c>
      <c r="C333" s="7" t="s">
        <v>807</v>
      </c>
      <c r="D333" s="8">
        <v>10000</v>
      </c>
      <c r="H333" s="24"/>
    </row>
    <row r="334" spans="1:8" ht="45" customHeight="1" x14ac:dyDescent="0.25">
      <c r="A334" s="22" t="s">
        <v>808</v>
      </c>
      <c r="B334" s="6" t="s">
        <v>809</v>
      </c>
      <c r="C334" s="7" t="s">
        <v>810</v>
      </c>
      <c r="D334" s="8">
        <v>0</v>
      </c>
      <c r="H334" s="22">
        <v>0</v>
      </c>
    </row>
    <row r="335" spans="1:8" ht="45" customHeight="1" x14ac:dyDescent="0.25">
      <c r="A335" s="23"/>
      <c r="B335" s="6" t="s">
        <v>811</v>
      </c>
      <c r="C335" s="7" t="s">
        <v>812</v>
      </c>
      <c r="D335" s="8">
        <f>40000-5000-5000</f>
        <v>30000</v>
      </c>
      <c r="H335" s="23"/>
    </row>
    <row r="336" spans="1:8" ht="45" customHeight="1" x14ac:dyDescent="0.25">
      <c r="A336" s="24"/>
      <c r="B336" s="6" t="s">
        <v>813</v>
      </c>
      <c r="C336" s="7" t="s">
        <v>814</v>
      </c>
      <c r="D336" s="8">
        <f>20000</f>
        <v>20000</v>
      </c>
      <c r="H336" s="24"/>
    </row>
    <row r="337" spans="1:8" ht="45" customHeight="1" x14ac:dyDescent="0.25">
      <c r="A337" s="22" t="s">
        <v>815</v>
      </c>
      <c r="B337" s="6" t="s">
        <v>816</v>
      </c>
      <c r="C337" s="7" t="s">
        <v>817</v>
      </c>
      <c r="D337" s="8">
        <v>0</v>
      </c>
      <c r="H337" s="22">
        <v>0</v>
      </c>
    </row>
    <row r="338" spans="1:8" ht="45" customHeight="1" x14ac:dyDescent="0.25">
      <c r="A338" s="24"/>
      <c r="B338" s="6" t="s">
        <v>818</v>
      </c>
      <c r="C338" s="7" t="s">
        <v>819</v>
      </c>
      <c r="D338" s="8">
        <v>0</v>
      </c>
      <c r="G338" s="13"/>
      <c r="H338" s="24"/>
    </row>
    <row r="339" spans="1:8" ht="45" customHeight="1" x14ac:dyDescent="0.25">
      <c r="A339" s="5" t="s">
        <v>820</v>
      </c>
      <c r="B339" s="6" t="s">
        <v>821</v>
      </c>
      <c r="C339" s="7" t="s">
        <v>822</v>
      </c>
      <c r="D339" s="8">
        <f>20000</f>
        <v>20000</v>
      </c>
      <c r="H339" s="5">
        <v>0</v>
      </c>
    </row>
    <row r="340" spans="1:8" ht="45" customHeight="1" x14ac:dyDescent="0.25">
      <c r="A340" s="22" t="s">
        <v>823</v>
      </c>
      <c r="B340" s="6" t="s">
        <v>824</v>
      </c>
      <c r="C340" s="7" t="s">
        <v>825</v>
      </c>
      <c r="D340" s="8">
        <f>20000</f>
        <v>20000</v>
      </c>
      <c r="H340" s="22">
        <v>0</v>
      </c>
    </row>
    <row r="341" spans="1:8" ht="45" customHeight="1" x14ac:dyDescent="0.25">
      <c r="A341" s="24"/>
      <c r="B341" s="6" t="s">
        <v>826</v>
      </c>
      <c r="C341" s="7" t="s">
        <v>827</v>
      </c>
      <c r="D341" s="8">
        <v>10000</v>
      </c>
      <c r="H341" s="24"/>
    </row>
    <row r="342" spans="1:8" ht="45" customHeight="1" x14ac:dyDescent="0.25">
      <c r="A342" s="22" t="s">
        <v>828</v>
      </c>
      <c r="B342" s="6" t="s">
        <v>829</v>
      </c>
      <c r="C342" s="7" t="s">
        <v>830</v>
      </c>
      <c r="D342" s="8">
        <v>0</v>
      </c>
      <c r="H342" s="22">
        <v>10000</v>
      </c>
    </row>
    <row r="343" spans="1:8" ht="45" customHeight="1" x14ac:dyDescent="0.25">
      <c r="A343" s="24"/>
      <c r="B343" s="6" t="s">
        <v>831</v>
      </c>
      <c r="C343" s="7" t="s">
        <v>832</v>
      </c>
      <c r="D343" s="8">
        <v>0</v>
      </c>
      <c r="H343" s="24"/>
    </row>
    <row r="344" spans="1:8" ht="45" customHeight="1" x14ac:dyDescent="0.25">
      <c r="A344" s="22" t="s">
        <v>833</v>
      </c>
      <c r="B344" s="6" t="s">
        <v>834</v>
      </c>
      <c r="C344" s="7" t="s">
        <v>835</v>
      </c>
      <c r="D344" s="8">
        <v>20000</v>
      </c>
      <c r="H344" s="22">
        <v>0</v>
      </c>
    </row>
    <row r="345" spans="1:8" ht="45" customHeight="1" x14ac:dyDescent="0.25">
      <c r="A345" s="24"/>
      <c r="B345" s="6" t="s">
        <v>836</v>
      </c>
      <c r="C345" s="7" t="s">
        <v>837</v>
      </c>
      <c r="D345" s="8">
        <v>0</v>
      </c>
      <c r="H345" s="24"/>
    </row>
    <row r="346" spans="1:8" ht="45" customHeight="1" x14ac:dyDescent="0.25">
      <c r="A346" s="22" t="s">
        <v>838</v>
      </c>
      <c r="B346" s="6" t="s">
        <v>839</v>
      </c>
      <c r="C346" s="7" t="s">
        <v>840</v>
      </c>
      <c r="D346" s="8">
        <v>0</v>
      </c>
      <c r="H346" s="22">
        <v>0</v>
      </c>
    </row>
    <row r="347" spans="1:8" ht="45" customHeight="1" x14ac:dyDescent="0.25">
      <c r="A347" s="24"/>
      <c r="B347" s="6" t="s">
        <v>841</v>
      </c>
      <c r="C347" s="7" t="s">
        <v>842</v>
      </c>
      <c r="D347" s="8">
        <f>20000</f>
        <v>20000</v>
      </c>
      <c r="H347" s="24"/>
    </row>
    <row r="348" spans="1:8" ht="45" customHeight="1" x14ac:dyDescent="0.25">
      <c r="A348" s="22" t="s">
        <v>843</v>
      </c>
      <c r="B348" s="7" t="s">
        <v>844</v>
      </c>
      <c r="C348" s="7" t="s">
        <v>845</v>
      </c>
      <c r="D348" s="8">
        <v>0</v>
      </c>
      <c r="H348" s="22">
        <v>0</v>
      </c>
    </row>
    <row r="349" spans="1:8" ht="45" customHeight="1" x14ac:dyDescent="0.25">
      <c r="A349" s="24"/>
      <c r="B349" s="6" t="s">
        <v>846</v>
      </c>
      <c r="C349" s="7" t="s">
        <v>847</v>
      </c>
      <c r="D349" s="8">
        <f>20000-10000</f>
        <v>10000</v>
      </c>
      <c r="H349" s="24"/>
    </row>
    <row r="350" spans="1:8" ht="45" customHeight="1" x14ac:dyDescent="0.25">
      <c r="A350" s="5" t="s">
        <v>848</v>
      </c>
      <c r="B350" s="6" t="s">
        <v>849</v>
      </c>
      <c r="C350" s="7" t="s">
        <v>850</v>
      </c>
      <c r="D350" s="8">
        <f>20000</f>
        <v>20000</v>
      </c>
      <c r="H350" s="5">
        <v>0</v>
      </c>
    </row>
    <row r="351" spans="1:8" ht="45" customHeight="1" x14ac:dyDescent="0.25">
      <c r="A351" s="22" t="s">
        <v>851</v>
      </c>
      <c r="B351" s="6" t="s">
        <v>852</v>
      </c>
      <c r="C351" s="7" t="s">
        <v>853</v>
      </c>
      <c r="D351" s="8">
        <v>0</v>
      </c>
      <c r="H351" s="22">
        <v>0</v>
      </c>
    </row>
    <row r="352" spans="1:8" ht="45" customHeight="1" x14ac:dyDescent="0.25">
      <c r="A352" s="23"/>
      <c r="B352" s="6" t="s">
        <v>854</v>
      </c>
      <c r="C352" s="7" t="s">
        <v>855</v>
      </c>
      <c r="D352" s="8">
        <v>5000</v>
      </c>
      <c r="H352" s="23"/>
    </row>
    <row r="353" spans="1:8" ht="45" customHeight="1" x14ac:dyDescent="0.25">
      <c r="A353" s="23"/>
      <c r="B353" s="6" t="s">
        <v>856</v>
      </c>
      <c r="C353" s="7" t="s">
        <v>857</v>
      </c>
      <c r="D353" s="8">
        <v>15000</v>
      </c>
      <c r="H353" s="23"/>
    </row>
    <row r="354" spans="1:8" ht="45" customHeight="1" x14ac:dyDescent="0.25">
      <c r="A354" s="24"/>
      <c r="B354" s="6" t="s">
        <v>858</v>
      </c>
      <c r="C354" s="7" t="s">
        <v>859</v>
      </c>
      <c r="D354" s="8">
        <v>0</v>
      </c>
      <c r="H354" s="24"/>
    </row>
    <row r="355" spans="1:8" ht="45" customHeight="1" x14ac:dyDescent="0.25">
      <c r="A355" s="22" t="s">
        <v>860</v>
      </c>
      <c r="B355" s="6" t="s">
        <v>861</v>
      </c>
      <c r="C355" s="7" t="s">
        <v>862</v>
      </c>
      <c r="D355" s="8">
        <v>0</v>
      </c>
      <c r="H355" s="22">
        <v>0</v>
      </c>
    </row>
    <row r="356" spans="1:8" ht="45" customHeight="1" x14ac:dyDescent="0.25">
      <c r="A356" s="23"/>
      <c r="B356" s="6" t="s">
        <v>863</v>
      </c>
      <c r="C356" s="7" t="s">
        <v>864</v>
      </c>
      <c r="D356" s="8">
        <f>10000</f>
        <v>10000</v>
      </c>
      <c r="H356" s="23"/>
    </row>
    <row r="357" spans="1:8" ht="45" customHeight="1" x14ac:dyDescent="0.25">
      <c r="A357" s="24"/>
      <c r="B357" s="6" t="s">
        <v>865</v>
      </c>
      <c r="C357" s="7" t="s">
        <v>866</v>
      </c>
      <c r="D357" s="8">
        <f>20000</f>
        <v>20000</v>
      </c>
      <c r="H357" s="24"/>
    </row>
    <row r="358" spans="1:8" ht="45" customHeight="1" x14ac:dyDescent="0.25">
      <c r="A358" s="22" t="s">
        <v>867</v>
      </c>
      <c r="B358" s="7" t="s">
        <v>868</v>
      </c>
      <c r="C358" s="7" t="s">
        <v>869</v>
      </c>
      <c r="D358" s="8">
        <v>0</v>
      </c>
      <c r="H358" s="22">
        <v>0</v>
      </c>
    </row>
    <row r="359" spans="1:8" ht="45" customHeight="1" x14ac:dyDescent="0.25">
      <c r="A359" s="24"/>
      <c r="B359" s="6" t="s">
        <v>870</v>
      </c>
      <c r="C359" s="7" t="s">
        <v>871</v>
      </c>
      <c r="D359" s="8">
        <f>20000</f>
        <v>20000</v>
      </c>
      <c r="H359" s="24"/>
    </row>
    <row r="360" spans="1:8" ht="45" customHeight="1" x14ac:dyDescent="0.25">
      <c r="A360" s="22" t="s">
        <v>872</v>
      </c>
      <c r="B360" s="6" t="s">
        <v>873</v>
      </c>
      <c r="C360" s="7" t="s">
        <v>874</v>
      </c>
      <c r="D360" s="8">
        <v>30000</v>
      </c>
      <c r="H360" s="22">
        <v>0</v>
      </c>
    </row>
    <row r="361" spans="1:8" ht="45" customHeight="1" x14ac:dyDescent="0.25">
      <c r="A361" s="24"/>
      <c r="B361" s="7" t="s">
        <v>875</v>
      </c>
      <c r="C361" s="7" t="s">
        <v>876</v>
      </c>
      <c r="D361" s="8">
        <f>20000-10000</f>
        <v>10000</v>
      </c>
      <c r="H361" s="24"/>
    </row>
    <row r="362" spans="1:8" ht="45" customHeight="1" x14ac:dyDescent="0.25">
      <c r="A362" s="22" t="s">
        <v>877</v>
      </c>
      <c r="B362" s="6" t="s">
        <v>878</v>
      </c>
      <c r="C362" s="7" t="s">
        <v>879</v>
      </c>
      <c r="D362" s="8">
        <v>0</v>
      </c>
      <c r="H362" s="22">
        <v>0</v>
      </c>
    </row>
    <row r="363" spans="1:8" ht="45" customHeight="1" x14ac:dyDescent="0.25">
      <c r="A363" s="24"/>
      <c r="B363" s="6" t="s">
        <v>880</v>
      </c>
      <c r="C363" s="7" t="s">
        <v>881</v>
      </c>
      <c r="D363" s="8">
        <f>20000</f>
        <v>20000</v>
      </c>
      <c r="H363" s="24"/>
    </row>
    <row r="364" spans="1:8" ht="45" customHeight="1" x14ac:dyDescent="0.25">
      <c r="A364" s="22" t="s">
        <v>882</v>
      </c>
      <c r="B364" s="7" t="s">
        <v>883</v>
      </c>
      <c r="C364" s="7" t="s">
        <v>884</v>
      </c>
      <c r="D364" s="8">
        <v>0</v>
      </c>
      <c r="H364" s="22">
        <v>0</v>
      </c>
    </row>
    <row r="365" spans="1:8" ht="45" customHeight="1" x14ac:dyDescent="0.25">
      <c r="A365" s="24"/>
      <c r="B365" s="6" t="s">
        <v>885</v>
      </c>
      <c r="C365" s="7" t="s">
        <v>886</v>
      </c>
      <c r="D365" s="8">
        <f>20000</f>
        <v>20000</v>
      </c>
      <c r="H365" s="24"/>
    </row>
    <row r="366" spans="1:8" ht="45" customHeight="1" x14ac:dyDescent="0.25">
      <c r="A366" s="22" t="s">
        <v>887</v>
      </c>
      <c r="B366" s="6" t="s">
        <v>888</v>
      </c>
      <c r="C366" s="7" t="s">
        <v>889</v>
      </c>
      <c r="D366" s="8">
        <v>0</v>
      </c>
      <c r="H366" s="22">
        <v>0</v>
      </c>
    </row>
    <row r="367" spans="1:8" ht="45" customHeight="1" x14ac:dyDescent="0.25">
      <c r="A367" s="23"/>
      <c r="B367" s="7" t="s">
        <v>890</v>
      </c>
      <c r="C367" s="7" t="s">
        <v>891</v>
      </c>
      <c r="D367" s="8">
        <f>10000</f>
        <v>10000</v>
      </c>
      <c r="H367" s="23"/>
    </row>
    <row r="368" spans="1:8" ht="45" customHeight="1" x14ac:dyDescent="0.25">
      <c r="A368" s="24"/>
      <c r="B368" s="7" t="s">
        <v>892</v>
      </c>
      <c r="C368" s="7" t="s">
        <v>893</v>
      </c>
      <c r="D368" s="8">
        <f>10000</f>
        <v>10000</v>
      </c>
      <c r="H368" s="24"/>
    </row>
    <row r="369" spans="1:8" ht="45" customHeight="1" x14ac:dyDescent="0.25">
      <c r="A369" s="5" t="s">
        <v>894</v>
      </c>
      <c r="B369" s="6" t="s">
        <v>895</v>
      </c>
      <c r="C369" s="7" t="s">
        <v>896</v>
      </c>
      <c r="D369" s="8">
        <v>0</v>
      </c>
      <c r="H369" s="5">
        <v>10000</v>
      </c>
    </row>
    <row r="370" spans="1:8" ht="45" customHeight="1" x14ac:dyDescent="0.25">
      <c r="A370" s="5" t="s">
        <v>897</v>
      </c>
      <c r="B370" s="7" t="s">
        <v>898</v>
      </c>
      <c r="C370" s="7" t="s">
        <v>899</v>
      </c>
      <c r="D370" s="8">
        <v>0</v>
      </c>
      <c r="H370" s="5">
        <v>0</v>
      </c>
    </row>
    <row r="371" spans="1:8" ht="45" customHeight="1" x14ac:dyDescent="0.25">
      <c r="A371" s="22" t="s">
        <v>900</v>
      </c>
      <c r="B371" s="6" t="s">
        <v>901</v>
      </c>
      <c r="C371" s="7" t="s">
        <v>902</v>
      </c>
      <c r="D371" s="8">
        <f>10000</f>
        <v>10000</v>
      </c>
      <c r="H371" s="22">
        <v>0</v>
      </c>
    </row>
    <row r="372" spans="1:8" ht="45" customHeight="1" x14ac:dyDescent="0.25">
      <c r="A372" s="24"/>
      <c r="B372" s="7" t="s">
        <v>903</v>
      </c>
      <c r="C372" s="7" t="s">
        <v>904</v>
      </c>
      <c r="D372" s="8">
        <f>10000</f>
        <v>10000</v>
      </c>
      <c r="H372" s="24"/>
    </row>
    <row r="373" spans="1:8" ht="45" customHeight="1" x14ac:dyDescent="0.25">
      <c r="A373" s="5" t="s">
        <v>905</v>
      </c>
      <c r="B373" s="6" t="s">
        <v>906</v>
      </c>
      <c r="C373" s="7" t="s">
        <v>907</v>
      </c>
      <c r="D373" s="8">
        <f>20000</f>
        <v>20000</v>
      </c>
      <c r="H373" s="5">
        <v>0</v>
      </c>
    </row>
    <row r="374" spans="1:8" ht="45" customHeight="1" x14ac:dyDescent="0.25">
      <c r="A374" s="5" t="s">
        <v>908</v>
      </c>
      <c r="B374" s="6" t="s">
        <v>909</v>
      </c>
      <c r="C374" s="7" t="s">
        <v>910</v>
      </c>
      <c r="D374" s="8">
        <f>12000</f>
        <v>12000</v>
      </c>
      <c r="G374" s="17"/>
      <c r="H374" s="5">
        <v>4000</v>
      </c>
    </row>
    <row r="375" spans="1:8" ht="45" customHeight="1" x14ac:dyDescent="0.25">
      <c r="A375" s="22" t="s">
        <v>911</v>
      </c>
      <c r="B375" s="7" t="s">
        <v>912</v>
      </c>
      <c r="C375" s="7" t="s">
        <v>913</v>
      </c>
      <c r="D375" s="8">
        <v>0</v>
      </c>
      <c r="G375" s="17"/>
      <c r="H375" s="22">
        <v>0</v>
      </c>
    </row>
    <row r="376" spans="1:8" ht="45" customHeight="1" x14ac:dyDescent="0.25">
      <c r="A376" s="24"/>
      <c r="B376" s="6" t="s">
        <v>914</v>
      </c>
      <c r="C376" s="7" t="s">
        <v>915</v>
      </c>
      <c r="D376" s="8">
        <f>20000</f>
        <v>20000</v>
      </c>
      <c r="G376" s="17"/>
      <c r="H376" s="24"/>
    </row>
    <row r="377" spans="1:8" ht="45" customHeight="1" x14ac:dyDescent="0.25">
      <c r="A377" s="22" t="s">
        <v>916</v>
      </c>
      <c r="B377" s="7" t="s">
        <v>917</v>
      </c>
      <c r="C377" s="7" t="s">
        <v>918</v>
      </c>
      <c r="D377" s="8">
        <v>0</v>
      </c>
      <c r="G377" s="17"/>
      <c r="H377" s="22">
        <v>0</v>
      </c>
    </row>
    <row r="378" spans="1:8" ht="45" customHeight="1" x14ac:dyDescent="0.25">
      <c r="A378" s="24"/>
      <c r="B378" s="7" t="s">
        <v>919</v>
      </c>
      <c r="C378" s="7" t="s">
        <v>920</v>
      </c>
      <c r="D378" s="8">
        <f>20000</f>
        <v>20000</v>
      </c>
      <c r="G378" s="17"/>
      <c r="H378" s="24"/>
    </row>
    <row r="379" spans="1:8" ht="45" customHeight="1" x14ac:dyDescent="0.25">
      <c r="A379" s="22" t="s">
        <v>921</v>
      </c>
      <c r="B379" s="6" t="s">
        <v>922</v>
      </c>
      <c r="C379" s="7" t="s">
        <v>923</v>
      </c>
      <c r="D379" s="8">
        <v>0</v>
      </c>
      <c r="G379" s="17"/>
      <c r="H379" s="22">
        <v>10000</v>
      </c>
    </row>
    <row r="380" spans="1:8" ht="45" customHeight="1" x14ac:dyDescent="0.25">
      <c r="A380" s="24"/>
      <c r="B380" s="6" t="s">
        <v>924</v>
      </c>
      <c r="C380" s="7" t="s">
        <v>925</v>
      </c>
      <c r="D380" s="8">
        <f>20000</f>
        <v>20000</v>
      </c>
      <c r="H380" s="24"/>
    </row>
    <row r="381" spans="1:8" ht="45" customHeight="1" x14ac:dyDescent="0.25">
      <c r="A381" s="5" t="s">
        <v>926</v>
      </c>
      <c r="B381" s="6" t="s">
        <v>927</v>
      </c>
      <c r="C381" s="7" t="s">
        <v>928</v>
      </c>
      <c r="D381" s="8">
        <f>10000</f>
        <v>10000</v>
      </c>
      <c r="H381" s="5">
        <v>0</v>
      </c>
    </row>
    <row r="382" spans="1:8" ht="45" customHeight="1" x14ac:dyDescent="0.25">
      <c r="A382" s="22" t="s">
        <v>929</v>
      </c>
      <c r="B382" s="6" t="s">
        <v>930</v>
      </c>
      <c r="C382" s="7" t="s">
        <v>931</v>
      </c>
      <c r="D382" s="8">
        <f>60000</f>
        <v>60000</v>
      </c>
      <c r="H382" s="22">
        <v>10000</v>
      </c>
    </row>
    <row r="383" spans="1:8" ht="45" customHeight="1" x14ac:dyDescent="0.25">
      <c r="A383" s="24"/>
      <c r="B383" s="6" t="s">
        <v>932</v>
      </c>
      <c r="C383" s="7" t="s">
        <v>933</v>
      </c>
      <c r="D383" s="8">
        <f>40000</f>
        <v>40000</v>
      </c>
      <c r="H383" s="24"/>
    </row>
    <row r="384" spans="1:8" ht="45" customHeight="1" x14ac:dyDescent="0.25">
      <c r="A384" s="5" t="s">
        <v>934</v>
      </c>
      <c r="B384" s="6" t="s">
        <v>935</v>
      </c>
      <c r="C384" s="7" t="s">
        <v>936</v>
      </c>
      <c r="D384" s="8">
        <v>0</v>
      </c>
      <c r="G384" s="14" t="s">
        <v>568</v>
      </c>
      <c r="H384" s="5">
        <v>0</v>
      </c>
    </row>
    <row r="385" spans="1:8" ht="45" customHeight="1" x14ac:dyDescent="0.25">
      <c r="A385" s="5" t="s">
        <v>937</v>
      </c>
      <c r="B385" s="6" t="s">
        <v>938</v>
      </c>
      <c r="C385" s="7" t="s">
        <v>939</v>
      </c>
      <c r="D385" s="8">
        <f>4000</f>
        <v>4000</v>
      </c>
      <c r="H385" s="5">
        <v>0</v>
      </c>
    </row>
    <row r="386" spans="1:8" ht="45" customHeight="1" x14ac:dyDescent="0.25">
      <c r="A386" s="5" t="s">
        <v>940</v>
      </c>
      <c r="B386" s="6" t="s">
        <v>941</v>
      </c>
      <c r="C386" s="7" t="s">
        <v>942</v>
      </c>
      <c r="D386" s="8">
        <f>4000</f>
        <v>4000</v>
      </c>
      <c r="H386" s="5">
        <v>0</v>
      </c>
    </row>
    <row r="387" spans="1:8" ht="45" customHeight="1" x14ac:dyDescent="0.25">
      <c r="A387" s="5" t="s">
        <v>943</v>
      </c>
      <c r="B387" s="6" t="s">
        <v>944</v>
      </c>
      <c r="C387" s="7" t="s">
        <v>945</v>
      </c>
      <c r="D387" s="8">
        <v>8000</v>
      </c>
      <c r="H387" s="5">
        <v>0</v>
      </c>
    </row>
    <row r="388" spans="1:8" ht="45" customHeight="1" x14ac:dyDescent="0.25">
      <c r="A388" s="5" t="s">
        <v>946</v>
      </c>
      <c r="B388" s="6" t="s">
        <v>947</v>
      </c>
      <c r="C388" s="7" t="s">
        <v>948</v>
      </c>
      <c r="D388" s="8">
        <v>0</v>
      </c>
      <c r="H388" s="5">
        <v>0</v>
      </c>
    </row>
    <row r="389" spans="1:8" ht="45" customHeight="1" x14ac:dyDescent="0.25">
      <c r="A389" s="5" t="s">
        <v>949</v>
      </c>
      <c r="B389" s="7" t="s">
        <v>950</v>
      </c>
      <c r="C389" s="7" t="s">
        <v>951</v>
      </c>
      <c r="D389" s="8">
        <f>4000</f>
        <v>4000</v>
      </c>
      <c r="H389" s="5">
        <v>0</v>
      </c>
    </row>
    <row r="390" spans="1:8" ht="45" customHeight="1" x14ac:dyDescent="0.25">
      <c r="A390" s="22" t="s">
        <v>952</v>
      </c>
      <c r="B390" s="6" t="s">
        <v>953</v>
      </c>
      <c r="C390" s="7" t="s">
        <v>954</v>
      </c>
      <c r="D390" s="8">
        <f>20000</f>
        <v>20000</v>
      </c>
      <c r="H390" s="22">
        <v>0</v>
      </c>
    </row>
    <row r="391" spans="1:8" ht="45" customHeight="1" x14ac:dyDescent="0.25">
      <c r="A391" s="24"/>
      <c r="B391" s="6" t="s">
        <v>955</v>
      </c>
      <c r="C391" s="7" t="s">
        <v>956</v>
      </c>
      <c r="D391" s="8">
        <v>0</v>
      </c>
      <c r="H391" s="24"/>
    </row>
    <row r="392" spans="1:8" ht="45" customHeight="1" x14ac:dyDescent="0.25">
      <c r="A392" s="22" t="s">
        <v>957</v>
      </c>
      <c r="B392" s="6" t="s">
        <v>958</v>
      </c>
      <c r="C392" s="7" t="s">
        <v>959</v>
      </c>
      <c r="D392" s="8">
        <v>0</v>
      </c>
      <c r="H392" s="22">
        <v>0</v>
      </c>
    </row>
    <row r="393" spans="1:8" ht="45" customHeight="1" x14ac:dyDescent="0.25">
      <c r="A393" s="24"/>
      <c r="B393" s="6" t="s">
        <v>960</v>
      </c>
      <c r="C393" s="7" t="s">
        <v>961</v>
      </c>
      <c r="D393" s="8">
        <v>0</v>
      </c>
      <c r="H393" s="24"/>
    </row>
    <row r="394" spans="1:8" ht="45" customHeight="1" x14ac:dyDescent="0.25">
      <c r="A394" s="22" t="s">
        <v>962</v>
      </c>
      <c r="B394" s="6" t="s">
        <v>963</v>
      </c>
      <c r="C394" s="7" t="s">
        <v>964</v>
      </c>
      <c r="D394" s="8">
        <f>20000</f>
        <v>20000</v>
      </c>
      <c r="H394" s="22">
        <v>0</v>
      </c>
    </row>
    <row r="395" spans="1:8" ht="45" customHeight="1" x14ac:dyDescent="0.25">
      <c r="A395" s="24"/>
      <c r="B395" s="6" t="s">
        <v>965</v>
      </c>
      <c r="C395" s="7" t="s">
        <v>966</v>
      </c>
      <c r="D395" s="8">
        <v>0</v>
      </c>
      <c r="H395" s="24"/>
    </row>
    <row r="396" spans="1:8" ht="45" customHeight="1" x14ac:dyDescent="0.25">
      <c r="A396" s="5" t="s">
        <v>967</v>
      </c>
      <c r="B396" s="7" t="s">
        <v>968</v>
      </c>
      <c r="C396" s="7" t="s">
        <v>969</v>
      </c>
      <c r="D396" s="8">
        <v>0</v>
      </c>
      <c r="H396" s="5">
        <v>0</v>
      </c>
    </row>
    <row r="397" spans="1:8" ht="45" customHeight="1" x14ac:dyDescent="0.25">
      <c r="A397" s="5" t="s">
        <v>970</v>
      </c>
      <c r="B397" s="6" t="s">
        <v>971</v>
      </c>
      <c r="C397" s="7" t="s">
        <v>972</v>
      </c>
      <c r="D397" s="8">
        <v>0</v>
      </c>
      <c r="H397" s="5">
        <v>0</v>
      </c>
    </row>
    <row r="398" spans="1:8" ht="45" customHeight="1" x14ac:dyDescent="0.25">
      <c r="A398" s="22" t="s">
        <v>973</v>
      </c>
      <c r="B398" s="6" t="s">
        <v>974</v>
      </c>
      <c r="C398" s="7" t="s">
        <v>975</v>
      </c>
      <c r="D398" s="8">
        <v>0</v>
      </c>
      <c r="H398" s="22">
        <v>20000</v>
      </c>
    </row>
    <row r="399" spans="1:8" ht="45" customHeight="1" x14ac:dyDescent="0.25">
      <c r="A399" s="23"/>
      <c r="B399" s="6" t="s">
        <v>976</v>
      </c>
      <c r="C399" s="7" t="s">
        <v>977</v>
      </c>
      <c r="D399" s="8">
        <v>0</v>
      </c>
      <c r="H399" s="23"/>
    </row>
    <row r="400" spans="1:8" ht="45" customHeight="1" x14ac:dyDescent="0.25">
      <c r="A400" s="24"/>
      <c r="B400" s="11" t="s">
        <v>978</v>
      </c>
      <c r="C400" s="7" t="s">
        <v>979</v>
      </c>
      <c r="D400" s="8">
        <f>50000-10000-10000</f>
        <v>30000</v>
      </c>
      <c r="H400" s="24"/>
    </row>
    <row r="401" spans="1:8" ht="45" customHeight="1" x14ac:dyDescent="0.25">
      <c r="A401" s="22" t="s">
        <v>980</v>
      </c>
      <c r="B401" s="6" t="s">
        <v>981</v>
      </c>
      <c r="C401" s="7" t="s">
        <v>982</v>
      </c>
      <c r="D401" s="8">
        <v>0</v>
      </c>
      <c r="H401" s="22">
        <v>30000</v>
      </c>
    </row>
    <row r="402" spans="1:8" ht="45" customHeight="1" x14ac:dyDescent="0.25">
      <c r="A402" s="24"/>
      <c r="B402" s="6" t="s">
        <v>829</v>
      </c>
      <c r="C402" s="7" t="s">
        <v>830</v>
      </c>
      <c r="D402" s="8">
        <v>0</v>
      </c>
      <c r="H402" s="24"/>
    </row>
    <row r="403" spans="1:8" ht="45" customHeight="1" x14ac:dyDescent="0.25">
      <c r="A403" s="22" t="s">
        <v>983</v>
      </c>
      <c r="B403" s="6" t="s">
        <v>984</v>
      </c>
      <c r="C403" s="7" t="s">
        <v>985</v>
      </c>
      <c r="D403" s="8">
        <v>20000</v>
      </c>
      <c r="H403" s="22">
        <v>10000</v>
      </c>
    </row>
    <row r="404" spans="1:8" ht="45" customHeight="1" x14ac:dyDescent="0.25">
      <c r="A404" s="23"/>
      <c r="B404" s="6" t="s">
        <v>986</v>
      </c>
      <c r="C404" s="7" t="s">
        <v>987</v>
      </c>
      <c r="D404" s="8">
        <v>0</v>
      </c>
      <c r="H404" s="23"/>
    </row>
    <row r="405" spans="1:8" ht="45" customHeight="1" x14ac:dyDescent="0.25">
      <c r="A405" s="24"/>
      <c r="B405" s="6" t="s">
        <v>988</v>
      </c>
      <c r="C405" s="7" t="s">
        <v>989</v>
      </c>
      <c r="D405" s="8">
        <f>10000</f>
        <v>10000</v>
      </c>
      <c r="H405" s="24"/>
    </row>
    <row r="406" spans="1:8" ht="45" customHeight="1" x14ac:dyDescent="0.25">
      <c r="A406" s="22" t="s">
        <v>990</v>
      </c>
      <c r="B406" s="6" t="s">
        <v>991</v>
      </c>
      <c r="C406" s="7" t="s">
        <v>992</v>
      </c>
      <c r="D406" s="8">
        <f>20000</f>
        <v>20000</v>
      </c>
      <c r="H406" s="22">
        <v>0</v>
      </c>
    </row>
    <row r="407" spans="1:8" ht="45" customHeight="1" x14ac:dyDescent="0.25">
      <c r="A407" s="24"/>
      <c r="B407" s="6" t="s">
        <v>993</v>
      </c>
      <c r="C407" s="7" t="s">
        <v>994</v>
      </c>
      <c r="D407" s="8">
        <v>0</v>
      </c>
      <c r="H407" s="24"/>
    </row>
    <row r="408" spans="1:8" ht="45" customHeight="1" x14ac:dyDescent="0.25">
      <c r="A408" s="22" t="s">
        <v>995</v>
      </c>
      <c r="B408" s="6" t="s">
        <v>996</v>
      </c>
      <c r="C408" s="7" t="s">
        <v>997</v>
      </c>
      <c r="D408" s="8">
        <v>0</v>
      </c>
      <c r="H408" s="22">
        <v>10000</v>
      </c>
    </row>
    <row r="409" spans="1:8" ht="45" customHeight="1" x14ac:dyDescent="0.25">
      <c r="A409" s="24"/>
      <c r="B409" s="6" t="s">
        <v>998</v>
      </c>
      <c r="C409" s="7" t="s">
        <v>999</v>
      </c>
      <c r="D409" s="8">
        <f>20000</f>
        <v>20000</v>
      </c>
      <c r="H409" s="24"/>
    </row>
    <row r="410" spans="1:8" ht="45" customHeight="1" x14ac:dyDescent="0.25">
      <c r="A410" s="22" t="s">
        <v>1000</v>
      </c>
      <c r="B410" s="6" t="s">
        <v>1001</v>
      </c>
      <c r="C410" s="7" t="s">
        <v>1002</v>
      </c>
      <c r="D410" s="8">
        <v>0</v>
      </c>
      <c r="H410" s="22">
        <v>0</v>
      </c>
    </row>
    <row r="411" spans="1:8" ht="45" customHeight="1" x14ac:dyDescent="0.25">
      <c r="A411" s="23"/>
      <c r="B411" s="6" t="s">
        <v>1003</v>
      </c>
      <c r="C411" s="7" t="s">
        <v>1004</v>
      </c>
      <c r="D411" s="8">
        <f>20000</f>
        <v>20000</v>
      </c>
      <c r="H411" s="23"/>
    </row>
    <row r="412" spans="1:8" ht="45" customHeight="1" x14ac:dyDescent="0.25">
      <c r="A412" s="24"/>
      <c r="B412" s="6" t="s">
        <v>1005</v>
      </c>
      <c r="C412" s="7" t="s">
        <v>1006</v>
      </c>
      <c r="D412" s="8">
        <f>20000</f>
        <v>20000</v>
      </c>
      <c r="H412" s="24"/>
    </row>
    <row r="413" spans="1:8" ht="45" customHeight="1" x14ac:dyDescent="0.25">
      <c r="A413" s="5" t="s">
        <v>1007</v>
      </c>
      <c r="B413" s="6" t="s">
        <v>1008</v>
      </c>
      <c r="C413" s="7" t="s">
        <v>1009</v>
      </c>
      <c r="D413" s="8">
        <f>10000</f>
        <v>10000</v>
      </c>
      <c r="H413" s="5">
        <v>0</v>
      </c>
    </row>
    <row r="414" spans="1:8" ht="45" customHeight="1" x14ac:dyDescent="0.25">
      <c r="A414" s="22" t="s">
        <v>1010</v>
      </c>
      <c r="B414" s="6" t="s">
        <v>1011</v>
      </c>
      <c r="C414" s="7" t="s">
        <v>1012</v>
      </c>
      <c r="D414" s="8">
        <v>10000</v>
      </c>
      <c r="H414" s="22">
        <v>0</v>
      </c>
    </row>
    <row r="415" spans="1:8" ht="45" customHeight="1" x14ac:dyDescent="0.25">
      <c r="A415" s="23"/>
      <c r="B415" s="6" t="s">
        <v>1013</v>
      </c>
      <c r="C415" s="7" t="s">
        <v>1014</v>
      </c>
      <c r="D415" s="8">
        <v>0</v>
      </c>
      <c r="H415" s="23"/>
    </row>
    <row r="416" spans="1:8" ht="45" customHeight="1" x14ac:dyDescent="0.25">
      <c r="A416" s="24"/>
      <c r="B416" s="6" t="s">
        <v>1015</v>
      </c>
      <c r="C416" s="7" t="s">
        <v>1016</v>
      </c>
      <c r="D416" s="8">
        <v>0</v>
      </c>
      <c r="H416" s="24"/>
    </row>
    <row r="417" spans="1:8" ht="45" customHeight="1" x14ac:dyDescent="0.25">
      <c r="A417" s="22" t="s">
        <v>1017</v>
      </c>
      <c r="B417" s="6" t="s">
        <v>1018</v>
      </c>
      <c r="C417" s="7" t="s">
        <v>1019</v>
      </c>
      <c r="D417" s="8">
        <v>0</v>
      </c>
      <c r="H417" s="22">
        <v>0</v>
      </c>
    </row>
    <row r="418" spans="1:8" ht="45" customHeight="1" x14ac:dyDescent="0.25">
      <c r="A418" s="24"/>
      <c r="B418" s="6" t="s">
        <v>1020</v>
      </c>
      <c r="C418" s="7" t="s">
        <v>1021</v>
      </c>
      <c r="D418" s="8">
        <f>10000</f>
        <v>10000</v>
      </c>
      <c r="H418" s="24"/>
    </row>
    <row r="419" spans="1:8" ht="45" customHeight="1" x14ac:dyDescent="0.25">
      <c r="A419" s="22" t="s">
        <v>1022</v>
      </c>
      <c r="B419" s="6" t="s">
        <v>1023</v>
      </c>
      <c r="C419" s="7" t="s">
        <v>1024</v>
      </c>
      <c r="D419" s="8">
        <v>0</v>
      </c>
      <c r="H419" s="22">
        <v>0</v>
      </c>
    </row>
    <row r="420" spans="1:8" ht="45" customHeight="1" x14ac:dyDescent="0.25">
      <c r="A420" s="23"/>
      <c r="B420" s="6" t="s">
        <v>1025</v>
      </c>
      <c r="C420" s="7" t="s">
        <v>1026</v>
      </c>
      <c r="D420" s="8">
        <v>0</v>
      </c>
      <c r="H420" s="23"/>
    </row>
    <row r="421" spans="1:8" ht="45" customHeight="1" x14ac:dyDescent="0.25">
      <c r="A421" s="24"/>
      <c r="B421" s="6" t="s">
        <v>1027</v>
      </c>
      <c r="C421" s="7" t="s">
        <v>1028</v>
      </c>
      <c r="D421" s="8">
        <v>0</v>
      </c>
      <c r="H421" s="24"/>
    </row>
    <row r="422" spans="1:8" ht="45" customHeight="1" x14ac:dyDescent="0.25">
      <c r="A422" s="5" t="s">
        <v>1029</v>
      </c>
      <c r="B422" s="6" t="s">
        <v>1030</v>
      </c>
      <c r="C422" s="7" t="s">
        <v>1031</v>
      </c>
      <c r="D422" s="8">
        <v>0</v>
      </c>
      <c r="H422" s="5">
        <v>0</v>
      </c>
    </row>
    <row r="423" spans="1:8" ht="45" customHeight="1" x14ac:dyDescent="0.25">
      <c r="A423" s="5" t="s">
        <v>1032</v>
      </c>
      <c r="B423" s="6" t="s">
        <v>1033</v>
      </c>
      <c r="C423" s="7" t="s">
        <v>1034</v>
      </c>
      <c r="D423" s="8">
        <f>20000</f>
        <v>20000</v>
      </c>
      <c r="H423" s="5">
        <v>0</v>
      </c>
    </row>
    <row r="424" spans="1:8" ht="45" customHeight="1" x14ac:dyDescent="0.25">
      <c r="A424" s="22" t="s">
        <v>1035</v>
      </c>
      <c r="B424" s="6" t="s">
        <v>1036</v>
      </c>
      <c r="C424" s="7" t="s">
        <v>1037</v>
      </c>
      <c r="D424" s="8">
        <v>0</v>
      </c>
      <c r="H424" s="22">
        <v>10000</v>
      </c>
    </row>
    <row r="425" spans="1:8" ht="45" customHeight="1" x14ac:dyDescent="0.25">
      <c r="A425" s="24"/>
      <c r="B425" s="6" t="s">
        <v>1038</v>
      </c>
      <c r="C425" s="7" t="s">
        <v>1039</v>
      </c>
      <c r="D425" s="8">
        <v>0</v>
      </c>
      <c r="H425" s="24"/>
    </row>
    <row r="426" spans="1:8" ht="45" customHeight="1" x14ac:dyDescent="0.25">
      <c r="A426" s="5" t="s">
        <v>1040</v>
      </c>
      <c r="B426" s="6" t="s">
        <v>1041</v>
      </c>
      <c r="C426" s="7" t="s">
        <v>1042</v>
      </c>
      <c r="D426" s="8">
        <v>0</v>
      </c>
      <c r="H426" s="5">
        <v>0</v>
      </c>
    </row>
    <row r="427" spans="1:8" ht="45" customHeight="1" x14ac:dyDescent="0.25">
      <c r="A427" s="5" t="s">
        <v>1043</v>
      </c>
      <c r="B427" s="6" t="s">
        <v>1044</v>
      </c>
      <c r="C427" s="7" t="s">
        <v>1045</v>
      </c>
      <c r="D427" s="8">
        <v>0</v>
      </c>
      <c r="H427" s="5">
        <v>0</v>
      </c>
    </row>
    <row r="428" spans="1:8" ht="45" customHeight="1" x14ac:dyDescent="0.25">
      <c r="A428" s="22" t="s">
        <v>1046</v>
      </c>
      <c r="B428" s="6" t="s">
        <v>1047</v>
      </c>
      <c r="C428" s="7" t="s">
        <v>1048</v>
      </c>
      <c r="D428" s="8">
        <f>10000</f>
        <v>10000</v>
      </c>
      <c r="H428" s="22">
        <v>10000</v>
      </c>
    </row>
    <row r="429" spans="1:8" ht="45" customHeight="1" x14ac:dyDescent="0.25">
      <c r="A429" s="23"/>
      <c r="B429" s="6" t="s">
        <v>1049</v>
      </c>
      <c r="C429" s="7" t="s">
        <v>1050</v>
      </c>
      <c r="D429" s="8">
        <f>20000</f>
        <v>20000</v>
      </c>
      <c r="H429" s="23"/>
    </row>
    <row r="430" spans="1:8" ht="45" customHeight="1" x14ac:dyDescent="0.25">
      <c r="A430" s="24"/>
      <c r="B430" s="6" t="s">
        <v>1051</v>
      </c>
      <c r="C430" s="7" t="s">
        <v>1052</v>
      </c>
      <c r="D430" s="8">
        <v>0</v>
      </c>
      <c r="H430" s="24"/>
    </row>
    <row r="431" spans="1:8" ht="45" customHeight="1" x14ac:dyDescent="0.25">
      <c r="A431" s="5" t="s">
        <v>1053</v>
      </c>
      <c r="B431" s="6" t="s">
        <v>1054</v>
      </c>
      <c r="C431" s="7" t="s">
        <v>1055</v>
      </c>
      <c r="D431" s="8">
        <v>0</v>
      </c>
      <c r="H431" s="5">
        <v>10000</v>
      </c>
    </row>
    <row r="432" spans="1:8" ht="45" customHeight="1" x14ac:dyDescent="0.25">
      <c r="A432" s="22" t="s">
        <v>1056</v>
      </c>
      <c r="B432" s="6" t="s">
        <v>1057</v>
      </c>
      <c r="C432" s="7" t="s">
        <v>1058</v>
      </c>
      <c r="D432" s="8">
        <v>0</v>
      </c>
      <c r="H432" s="22">
        <v>10000</v>
      </c>
    </row>
    <row r="433" spans="1:8" ht="45" customHeight="1" x14ac:dyDescent="0.25">
      <c r="A433" s="24"/>
      <c r="B433" s="6" t="s">
        <v>1059</v>
      </c>
      <c r="C433" s="7" t="s">
        <v>1060</v>
      </c>
      <c r="D433" s="8">
        <f>10000</f>
        <v>10000</v>
      </c>
      <c r="H433" s="24"/>
    </row>
    <row r="434" spans="1:8" ht="45" customHeight="1" x14ac:dyDescent="0.25">
      <c r="A434" s="22" t="s">
        <v>1061</v>
      </c>
      <c r="B434" s="6" t="s">
        <v>1062</v>
      </c>
      <c r="C434" s="7" t="s">
        <v>1063</v>
      </c>
      <c r="D434" s="8">
        <v>0</v>
      </c>
      <c r="H434" s="22">
        <v>0</v>
      </c>
    </row>
    <row r="435" spans="1:8" ht="45" customHeight="1" x14ac:dyDescent="0.25">
      <c r="A435" s="24"/>
      <c r="B435" s="6" t="s">
        <v>1064</v>
      </c>
      <c r="C435" s="7" t="s">
        <v>1065</v>
      </c>
      <c r="D435" s="8">
        <v>10000</v>
      </c>
      <c r="H435" s="24"/>
    </row>
    <row r="436" spans="1:8" ht="45" customHeight="1" x14ac:dyDescent="0.25">
      <c r="A436" s="5" t="s">
        <v>1066</v>
      </c>
      <c r="B436" s="6" t="s">
        <v>1067</v>
      </c>
      <c r="C436" s="7" t="s">
        <v>1068</v>
      </c>
      <c r="D436" s="8">
        <v>10000</v>
      </c>
      <c r="H436" s="5">
        <v>0</v>
      </c>
    </row>
    <row r="437" spans="1:8" ht="45" customHeight="1" x14ac:dyDescent="0.25">
      <c r="A437" s="5" t="s">
        <v>1069</v>
      </c>
      <c r="B437" s="6" t="s">
        <v>1070</v>
      </c>
      <c r="C437" s="7" t="s">
        <v>1071</v>
      </c>
      <c r="D437" s="8">
        <f>10000</f>
        <v>10000</v>
      </c>
      <c r="H437" s="5">
        <v>0</v>
      </c>
    </row>
    <row r="438" spans="1:8" ht="45" customHeight="1" x14ac:dyDescent="0.25">
      <c r="A438" s="22" t="s">
        <v>1072</v>
      </c>
      <c r="B438" s="11" t="s">
        <v>1073</v>
      </c>
      <c r="C438" s="7" t="s">
        <v>1074</v>
      </c>
      <c r="D438" s="8">
        <v>0</v>
      </c>
      <c r="H438" s="22">
        <v>4000</v>
      </c>
    </row>
    <row r="439" spans="1:8" ht="45" customHeight="1" x14ac:dyDescent="0.25">
      <c r="A439" s="24"/>
      <c r="B439" s="6" t="s">
        <v>1075</v>
      </c>
      <c r="C439" s="7" t="s">
        <v>1076</v>
      </c>
      <c r="D439" s="8">
        <v>0</v>
      </c>
      <c r="H439" s="24"/>
    </row>
    <row r="440" spans="1:8" ht="45" customHeight="1" x14ac:dyDescent="0.25">
      <c r="A440" s="22" t="s">
        <v>1077</v>
      </c>
      <c r="B440" s="6" t="s">
        <v>1078</v>
      </c>
      <c r="C440" s="7" t="s">
        <v>1078</v>
      </c>
      <c r="D440" s="8">
        <v>0</v>
      </c>
      <c r="H440" s="22">
        <v>0</v>
      </c>
    </row>
    <row r="441" spans="1:8" ht="45" customHeight="1" x14ac:dyDescent="0.25">
      <c r="A441" s="23"/>
      <c r="B441" s="6" t="s">
        <v>1079</v>
      </c>
      <c r="C441" s="7" t="s">
        <v>1080</v>
      </c>
      <c r="D441" s="8">
        <v>0</v>
      </c>
      <c r="H441" s="23"/>
    </row>
    <row r="442" spans="1:8" ht="45" customHeight="1" x14ac:dyDescent="0.25">
      <c r="A442" s="24"/>
      <c r="B442" s="6" t="s">
        <v>1081</v>
      </c>
      <c r="C442" s="7" t="s">
        <v>1082</v>
      </c>
      <c r="D442" s="8">
        <v>0</v>
      </c>
      <c r="G442" s="13"/>
      <c r="H442" s="24"/>
    </row>
    <row r="443" spans="1:8" ht="45" customHeight="1" x14ac:dyDescent="0.25">
      <c r="A443" s="5" t="s">
        <v>1083</v>
      </c>
      <c r="B443" s="6" t="s">
        <v>1084</v>
      </c>
      <c r="C443" s="7" t="s">
        <v>1085</v>
      </c>
      <c r="D443" s="8">
        <v>0</v>
      </c>
      <c r="H443" s="5">
        <v>0</v>
      </c>
    </row>
    <row r="444" spans="1:8" ht="45" customHeight="1" x14ac:dyDescent="0.25">
      <c r="A444" s="22" t="s">
        <v>1086</v>
      </c>
      <c r="B444" s="6" t="s">
        <v>1087</v>
      </c>
      <c r="C444" s="7" t="s">
        <v>1088</v>
      </c>
      <c r="D444" s="8">
        <v>0</v>
      </c>
      <c r="H444" s="22">
        <v>0</v>
      </c>
    </row>
    <row r="445" spans="1:8" ht="45" customHeight="1" x14ac:dyDescent="0.25">
      <c r="A445" s="24"/>
      <c r="B445" s="6" t="s">
        <v>1089</v>
      </c>
      <c r="C445" s="7" t="s">
        <v>1090</v>
      </c>
      <c r="D445" s="8">
        <v>0</v>
      </c>
      <c r="H445" s="24"/>
    </row>
    <row r="446" spans="1:8" ht="45" customHeight="1" x14ac:dyDescent="0.25">
      <c r="A446" s="5" t="s">
        <v>1091</v>
      </c>
      <c r="B446" s="6" t="s">
        <v>1092</v>
      </c>
      <c r="C446" s="7" t="s">
        <v>1093</v>
      </c>
      <c r="D446" s="8">
        <v>0</v>
      </c>
      <c r="G446" s="13"/>
      <c r="H446" s="5">
        <v>0</v>
      </c>
    </row>
    <row r="447" spans="1:8" ht="45" customHeight="1" x14ac:dyDescent="0.25">
      <c r="A447" s="5" t="s">
        <v>1094</v>
      </c>
      <c r="B447" s="6" t="s">
        <v>1095</v>
      </c>
      <c r="C447" s="7" t="s">
        <v>1096</v>
      </c>
      <c r="D447" s="8">
        <v>0</v>
      </c>
      <c r="G447" s="13"/>
      <c r="H447" s="5">
        <v>0</v>
      </c>
    </row>
    <row r="448" spans="1:8" ht="45" customHeight="1" x14ac:dyDescent="0.25">
      <c r="A448" s="5" t="s">
        <v>1097</v>
      </c>
      <c r="B448" s="6" t="s">
        <v>1098</v>
      </c>
      <c r="C448" s="7" t="s">
        <v>1099</v>
      </c>
      <c r="D448" s="8">
        <v>0</v>
      </c>
      <c r="G448" s="13"/>
      <c r="H448" s="5">
        <v>0</v>
      </c>
    </row>
    <row r="449" spans="1:8" ht="45" customHeight="1" x14ac:dyDescent="0.25">
      <c r="A449" s="5" t="s">
        <v>1100</v>
      </c>
      <c r="B449" s="6" t="s">
        <v>1101</v>
      </c>
      <c r="C449" s="7" t="s">
        <v>1102</v>
      </c>
      <c r="D449" s="8">
        <v>0</v>
      </c>
      <c r="G449" s="13"/>
      <c r="H449" s="5">
        <v>0</v>
      </c>
    </row>
    <row r="450" spans="1:8" ht="45" customHeight="1" x14ac:dyDescent="0.25">
      <c r="A450" s="5" t="s">
        <v>1103</v>
      </c>
      <c r="B450" s="6" t="s">
        <v>1104</v>
      </c>
      <c r="C450" s="7" t="s">
        <v>1105</v>
      </c>
      <c r="D450" s="8">
        <v>0</v>
      </c>
      <c r="G450" s="13"/>
      <c r="H450" s="5">
        <v>0</v>
      </c>
    </row>
    <row r="451" spans="1:8" ht="45" customHeight="1" x14ac:dyDescent="0.25">
      <c r="A451" s="5" t="s">
        <v>1106</v>
      </c>
      <c r="B451" s="6" t="s">
        <v>1107</v>
      </c>
      <c r="C451" s="7" t="s">
        <v>1108</v>
      </c>
      <c r="D451" s="8">
        <v>0</v>
      </c>
      <c r="G451" s="13"/>
      <c r="H451" s="5">
        <v>0</v>
      </c>
    </row>
    <row r="452" spans="1:8" ht="45" customHeight="1" x14ac:dyDescent="0.25">
      <c r="A452" s="22" t="s">
        <v>1109</v>
      </c>
      <c r="B452" s="6" t="s">
        <v>1110</v>
      </c>
      <c r="C452" s="7" t="s">
        <v>1111</v>
      </c>
      <c r="D452" s="8">
        <v>0</v>
      </c>
      <c r="H452" s="22">
        <v>0</v>
      </c>
    </row>
    <row r="453" spans="1:8" ht="45" customHeight="1" x14ac:dyDescent="0.25">
      <c r="A453" s="24"/>
      <c r="B453" s="6" t="s">
        <v>1112</v>
      </c>
      <c r="C453" s="7" t="s">
        <v>1113</v>
      </c>
      <c r="D453" s="8">
        <v>0</v>
      </c>
      <c r="G453" s="11" t="s">
        <v>1114</v>
      </c>
      <c r="H453" s="24"/>
    </row>
    <row r="454" spans="1:8" ht="45" customHeight="1" x14ac:dyDescent="0.25">
      <c r="A454" s="22" t="s">
        <v>1115</v>
      </c>
      <c r="B454" s="6" t="s">
        <v>1116</v>
      </c>
      <c r="C454" s="7" t="s">
        <v>1117</v>
      </c>
      <c r="D454" s="8">
        <v>0</v>
      </c>
      <c r="H454" s="22">
        <v>0</v>
      </c>
    </row>
    <row r="455" spans="1:8" ht="45" customHeight="1" x14ac:dyDescent="0.25">
      <c r="A455" s="24"/>
      <c r="B455" s="6" t="s">
        <v>1118</v>
      </c>
      <c r="C455" s="7" t="s">
        <v>1119</v>
      </c>
      <c r="D455" s="8">
        <v>0</v>
      </c>
      <c r="H455" s="24"/>
    </row>
    <row r="456" spans="1:8" ht="45" customHeight="1" x14ac:dyDescent="0.25">
      <c r="A456" s="22" t="s">
        <v>1120</v>
      </c>
      <c r="B456" s="6" t="s">
        <v>1121</v>
      </c>
      <c r="C456" s="7" t="s">
        <v>1122</v>
      </c>
      <c r="D456" s="8">
        <v>0</v>
      </c>
      <c r="H456" s="22">
        <v>0</v>
      </c>
    </row>
    <row r="457" spans="1:8" ht="45" customHeight="1" x14ac:dyDescent="0.25">
      <c r="A457" s="24"/>
      <c r="B457" s="6" t="s">
        <v>1123</v>
      </c>
      <c r="C457" s="7" t="s">
        <v>1124</v>
      </c>
      <c r="D457" s="8">
        <v>0</v>
      </c>
      <c r="H457" s="24"/>
    </row>
    <row r="458" spans="1:8" ht="45" customHeight="1" x14ac:dyDescent="0.25">
      <c r="A458" s="22" t="s">
        <v>1125</v>
      </c>
      <c r="B458" s="6" t="s">
        <v>1126</v>
      </c>
      <c r="C458" s="7" t="s">
        <v>1127</v>
      </c>
      <c r="D458" s="8">
        <v>0</v>
      </c>
      <c r="H458" s="22">
        <v>0</v>
      </c>
    </row>
    <row r="459" spans="1:8" ht="45" customHeight="1" x14ac:dyDescent="0.25">
      <c r="A459" s="24"/>
      <c r="B459" s="6" t="s">
        <v>1128</v>
      </c>
      <c r="C459" s="7" t="s">
        <v>1129</v>
      </c>
      <c r="D459" s="8">
        <v>0</v>
      </c>
      <c r="H459" s="24"/>
    </row>
    <row r="460" spans="1:8" ht="45" customHeight="1" x14ac:dyDescent="0.25">
      <c r="A460" s="22" t="s">
        <v>1130</v>
      </c>
      <c r="B460" s="6" t="s">
        <v>1131</v>
      </c>
      <c r="C460" s="7" t="s">
        <v>1132</v>
      </c>
      <c r="D460" s="8">
        <v>0</v>
      </c>
      <c r="H460" s="22">
        <v>0</v>
      </c>
    </row>
    <row r="461" spans="1:8" ht="45" customHeight="1" x14ac:dyDescent="0.25">
      <c r="A461" s="24"/>
      <c r="B461" s="6" t="s">
        <v>1133</v>
      </c>
      <c r="C461" s="7" t="s">
        <v>1134</v>
      </c>
      <c r="D461" s="8">
        <v>0</v>
      </c>
      <c r="H461" s="24"/>
    </row>
    <row r="462" spans="1:8" ht="45" customHeight="1" x14ac:dyDescent="0.25">
      <c r="A462" s="22" t="s">
        <v>1135</v>
      </c>
      <c r="B462" s="6" t="s">
        <v>1136</v>
      </c>
      <c r="C462" s="7" t="s">
        <v>1137</v>
      </c>
      <c r="D462" s="8">
        <v>0</v>
      </c>
      <c r="H462" s="22">
        <v>0</v>
      </c>
    </row>
    <row r="463" spans="1:8" ht="45" customHeight="1" x14ac:dyDescent="0.25">
      <c r="A463" s="24"/>
      <c r="B463" s="6" t="s">
        <v>1138</v>
      </c>
      <c r="C463" s="7" t="s">
        <v>1139</v>
      </c>
      <c r="D463" s="8">
        <v>0</v>
      </c>
      <c r="H463" s="24"/>
    </row>
    <row r="464" spans="1:8" ht="45" customHeight="1" x14ac:dyDescent="0.25">
      <c r="A464" s="22" t="s">
        <v>1140</v>
      </c>
      <c r="B464" s="6" t="s">
        <v>1141</v>
      </c>
      <c r="C464" s="7" t="s">
        <v>1142</v>
      </c>
      <c r="D464" s="8">
        <v>0</v>
      </c>
      <c r="H464" s="22">
        <v>0</v>
      </c>
    </row>
    <row r="465" spans="1:8" ht="45" customHeight="1" x14ac:dyDescent="0.25">
      <c r="A465" s="24"/>
      <c r="B465" s="6" t="s">
        <v>1143</v>
      </c>
      <c r="C465" s="7" t="s">
        <v>1144</v>
      </c>
      <c r="D465" s="8">
        <v>0</v>
      </c>
      <c r="H465" s="24"/>
    </row>
    <row r="466" spans="1:8" ht="45" customHeight="1" x14ac:dyDescent="0.25">
      <c r="A466" s="22" t="s">
        <v>1145</v>
      </c>
      <c r="B466" s="6" t="s">
        <v>1146</v>
      </c>
      <c r="C466" s="7" t="s">
        <v>1147</v>
      </c>
      <c r="D466" s="8">
        <v>0</v>
      </c>
      <c r="H466" s="22">
        <v>0</v>
      </c>
    </row>
    <row r="467" spans="1:8" ht="45" customHeight="1" x14ac:dyDescent="0.25">
      <c r="A467" s="24"/>
      <c r="B467" s="6" t="s">
        <v>1148</v>
      </c>
      <c r="C467" s="7" t="s">
        <v>1149</v>
      </c>
      <c r="D467" s="8">
        <v>0</v>
      </c>
      <c r="H467" s="24"/>
    </row>
    <row r="468" spans="1:8" ht="45" customHeight="1" x14ac:dyDescent="0.25">
      <c r="A468" s="22" t="s">
        <v>1150</v>
      </c>
      <c r="B468" s="6" t="s">
        <v>1151</v>
      </c>
      <c r="C468" s="7" t="s">
        <v>1152</v>
      </c>
      <c r="D468" s="8">
        <v>0</v>
      </c>
      <c r="H468" s="22">
        <v>0</v>
      </c>
    </row>
    <row r="469" spans="1:8" ht="45" customHeight="1" x14ac:dyDescent="0.25">
      <c r="A469" s="24"/>
      <c r="B469" s="6" t="s">
        <v>1153</v>
      </c>
      <c r="C469" s="7" t="s">
        <v>1154</v>
      </c>
      <c r="D469" s="8">
        <v>0</v>
      </c>
      <c r="H469" s="24"/>
    </row>
    <row r="470" spans="1:8" ht="45" customHeight="1" x14ac:dyDescent="0.25">
      <c r="A470" s="5" t="s">
        <v>1155</v>
      </c>
      <c r="B470" s="6" t="s">
        <v>1156</v>
      </c>
      <c r="C470" s="7" t="s">
        <v>1157</v>
      </c>
      <c r="D470" s="8">
        <v>0</v>
      </c>
      <c r="H470" s="5">
        <v>0</v>
      </c>
    </row>
    <row r="471" spans="1:8" ht="45" customHeight="1" x14ac:dyDescent="0.25">
      <c r="A471" s="5" t="s">
        <v>1158</v>
      </c>
      <c r="B471" s="6" t="s">
        <v>1159</v>
      </c>
      <c r="C471" s="7" t="s">
        <v>1160</v>
      </c>
      <c r="D471" s="8">
        <v>0</v>
      </c>
      <c r="G471" s="11" t="s">
        <v>1114</v>
      </c>
      <c r="H471" s="5">
        <v>0</v>
      </c>
    </row>
    <row r="472" spans="1:8" ht="45" customHeight="1" x14ac:dyDescent="0.25">
      <c r="A472" s="5" t="s">
        <v>1161</v>
      </c>
      <c r="B472" s="6" t="s">
        <v>1162</v>
      </c>
      <c r="C472" s="7" t="s">
        <v>1163</v>
      </c>
      <c r="D472" s="8">
        <v>0</v>
      </c>
      <c r="H472" s="5">
        <v>0</v>
      </c>
    </row>
    <row r="473" spans="1:8" ht="45" customHeight="1" x14ac:dyDescent="0.25">
      <c r="A473" s="5" t="s">
        <v>1164</v>
      </c>
      <c r="B473" s="6" t="s">
        <v>1165</v>
      </c>
      <c r="C473" s="7" t="s">
        <v>1166</v>
      </c>
      <c r="D473" s="8">
        <v>0</v>
      </c>
      <c r="H473" s="5">
        <v>0</v>
      </c>
    </row>
    <row r="474" spans="1:8" ht="45" customHeight="1" x14ac:dyDescent="0.25">
      <c r="A474" s="5" t="s">
        <v>1167</v>
      </c>
      <c r="B474" s="6" t="s">
        <v>1168</v>
      </c>
      <c r="C474" s="7" t="s">
        <v>1169</v>
      </c>
      <c r="D474" s="8">
        <v>0</v>
      </c>
      <c r="H474" s="5">
        <v>10000</v>
      </c>
    </row>
    <row r="475" spans="1:8" ht="45" customHeight="1" x14ac:dyDescent="0.25">
      <c r="A475" s="22" t="s">
        <v>1170</v>
      </c>
      <c r="B475" s="6" t="s">
        <v>1171</v>
      </c>
      <c r="C475" s="7" t="s">
        <v>1172</v>
      </c>
      <c r="D475" s="8">
        <v>0</v>
      </c>
      <c r="H475" s="22">
        <v>6000</v>
      </c>
    </row>
    <row r="476" spans="1:8" ht="45" customHeight="1" x14ac:dyDescent="0.25">
      <c r="A476" s="24"/>
      <c r="B476" s="6" t="s">
        <v>1173</v>
      </c>
      <c r="C476" s="7" t="s">
        <v>1174</v>
      </c>
      <c r="D476" s="8">
        <f>15000-3000-3000-3000</f>
        <v>6000</v>
      </c>
      <c r="H476" s="24"/>
    </row>
    <row r="477" spans="1:8" ht="45" customHeight="1" x14ac:dyDescent="0.25">
      <c r="A477" s="5" t="s">
        <v>1175</v>
      </c>
      <c r="B477" s="6" t="s">
        <v>1176</v>
      </c>
      <c r="C477" s="7" t="s">
        <v>1177</v>
      </c>
      <c r="D477" s="8">
        <v>0</v>
      </c>
      <c r="H477" s="5">
        <v>2000</v>
      </c>
    </row>
    <row r="478" spans="1:8" ht="45" customHeight="1" x14ac:dyDescent="0.25">
      <c r="A478" s="22" t="s">
        <v>1178</v>
      </c>
      <c r="B478" s="6" t="s">
        <v>1179</v>
      </c>
      <c r="C478" s="7" t="s">
        <v>1180</v>
      </c>
      <c r="D478" s="8">
        <v>40000</v>
      </c>
      <c r="H478" s="22">
        <v>100000</v>
      </c>
    </row>
    <row r="479" spans="1:8" ht="45" customHeight="1" x14ac:dyDescent="0.25">
      <c r="A479" s="24"/>
      <c r="B479" s="6" t="s">
        <v>1181</v>
      </c>
      <c r="C479" s="7" t="s">
        <v>1182</v>
      </c>
      <c r="D479" s="8">
        <v>0</v>
      </c>
      <c r="H479" s="24"/>
    </row>
    <row r="480" spans="1:8" ht="45" customHeight="1" x14ac:dyDescent="0.25">
      <c r="A480" s="22" t="s">
        <v>1183</v>
      </c>
      <c r="B480" s="6" t="s">
        <v>1184</v>
      </c>
      <c r="C480" s="7" t="s">
        <v>1185</v>
      </c>
      <c r="D480" s="8">
        <v>0</v>
      </c>
      <c r="H480" s="22">
        <v>190000</v>
      </c>
    </row>
    <row r="481" spans="1:8" ht="45" customHeight="1" x14ac:dyDescent="0.25">
      <c r="A481" s="23"/>
      <c r="B481" s="15" t="s">
        <v>1186</v>
      </c>
      <c r="C481" s="7" t="s">
        <v>1187</v>
      </c>
      <c r="D481" s="8">
        <v>20000</v>
      </c>
      <c r="H481" s="23"/>
    </row>
    <row r="482" spans="1:8" ht="45" customHeight="1" x14ac:dyDescent="0.25">
      <c r="A482" s="24"/>
      <c r="B482" s="15" t="s">
        <v>1188</v>
      </c>
      <c r="C482" s="7" t="s">
        <v>1189</v>
      </c>
      <c r="D482" s="8">
        <v>0</v>
      </c>
      <c r="H482" s="24"/>
    </row>
    <row r="483" spans="1:8" ht="45" customHeight="1" x14ac:dyDescent="0.25">
      <c r="A483" s="22" t="s">
        <v>1190</v>
      </c>
      <c r="B483" s="6" t="s">
        <v>1191</v>
      </c>
      <c r="C483" s="7" t="s">
        <v>1192</v>
      </c>
      <c r="D483" s="8">
        <f>70000</f>
        <v>70000</v>
      </c>
      <c r="H483" s="22">
        <v>0</v>
      </c>
    </row>
    <row r="484" spans="1:8" ht="45" customHeight="1" x14ac:dyDescent="0.25">
      <c r="A484" s="24"/>
      <c r="B484" s="6" t="s">
        <v>1193</v>
      </c>
      <c r="C484" s="7" t="s">
        <v>1194</v>
      </c>
      <c r="D484" s="8">
        <f>140000-10000</f>
        <v>130000</v>
      </c>
      <c r="H484" s="24"/>
    </row>
    <row r="485" spans="1:8" ht="45" customHeight="1" x14ac:dyDescent="0.25">
      <c r="A485" s="22" t="s">
        <v>1195</v>
      </c>
      <c r="B485" s="6" t="s">
        <v>1196</v>
      </c>
      <c r="C485" s="7" t="s">
        <v>1197</v>
      </c>
      <c r="D485" s="8">
        <f>340000</f>
        <v>340000</v>
      </c>
      <c r="H485" s="22">
        <v>90000</v>
      </c>
    </row>
    <row r="486" spans="1:8" ht="45" customHeight="1" x14ac:dyDescent="0.25">
      <c r="A486" s="23"/>
      <c r="B486" s="6" t="s">
        <v>1198</v>
      </c>
      <c r="C486" s="7" t="s">
        <v>1199</v>
      </c>
      <c r="D486" s="8">
        <v>0</v>
      </c>
      <c r="H486" s="23"/>
    </row>
    <row r="487" spans="1:8" ht="45" customHeight="1" x14ac:dyDescent="0.25">
      <c r="A487" s="24"/>
      <c r="B487" s="6" t="s">
        <v>1200</v>
      </c>
      <c r="C487" s="7" t="s">
        <v>1201</v>
      </c>
      <c r="D487" s="8">
        <v>0</v>
      </c>
      <c r="H487" s="24"/>
    </row>
    <row r="488" spans="1:8" ht="45" customHeight="1" x14ac:dyDescent="0.25">
      <c r="A488" s="5" t="s">
        <v>1202</v>
      </c>
      <c r="B488" s="6" t="s">
        <v>1203</v>
      </c>
      <c r="C488" s="7" t="s">
        <v>1204</v>
      </c>
      <c r="D488" s="8">
        <v>0</v>
      </c>
      <c r="H488" s="5">
        <v>4000</v>
      </c>
    </row>
    <row r="489" spans="1:8" ht="45" customHeight="1" x14ac:dyDescent="0.25">
      <c r="A489" s="22" t="s">
        <v>1205</v>
      </c>
      <c r="B489" s="6" t="s">
        <v>1206</v>
      </c>
      <c r="C489" s="7" t="s">
        <v>1207</v>
      </c>
      <c r="D489" s="8">
        <f>12000-6000</f>
        <v>6000</v>
      </c>
      <c r="H489" s="22">
        <v>30000</v>
      </c>
    </row>
    <row r="490" spans="1:8" ht="45" customHeight="1" x14ac:dyDescent="0.25">
      <c r="A490" s="24"/>
      <c r="B490" s="6" t="s">
        <v>1208</v>
      </c>
      <c r="C490" s="7" t="s">
        <v>1209</v>
      </c>
      <c r="D490" s="8">
        <f>18000-6000</f>
        <v>12000</v>
      </c>
      <c r="H490" s="24"/>
    </row>
    <row r="491" spans="1:8" ht="45" customHeight="1" x14ac:dyDescent="0.25">
      <c r="A491" s="5" t="s">
        <v>1210</v>
      </c>
      <c r="B491" s="6" t="s">
        <v>1211</v>
      </c>
      <c r="C491" s="7" t="s">
        <v>1212</v>
      </c>
      <c r="D491" s="8">
        <v>0</v>
      </c>
      <c r="H491" s="5">
        <v>0</v>
      </c>
    </row>
    <row r="492" spans="1:8" ht="45" customHeight="1" x14ac:dyDescent="0.25">
      <c r="A492" s="22" t="s">
        <v>1213</v>
      </c>
      <c r="B492" s="6" t="s">
        <v>1214</v>
      </c>
      <c r="C492" s="7" t="s">
        <v>1215</v>
      </c>
      <c r="D492" s="8">
        <f>20000</f>
        <v>20000</v>
      </c>
      <c r="H492" s="22">
        <v>10000</v>
      </c>
    </row>
    <row r="493" spans="1:8" ht="45" customHeight="1" x14ac:dyDescent="0.25">
      <c r="A493" s="24"/>
      <c r="B493" s="6" t="s">
        <v>1216</v>
      </c>
      <c r="C493" s="7" t="s">
        <v>1217</v>
      </c>
      <c r="D493" s="8">
        <f>10000</f>
        <v>10000</v>
      </c>
      <c r="H493" s="24"/>
    </row>
    <row r="494" spans="1:8" ht="45" customHeight="1" x14ac:dyDescent="0.25">
      <c r="A494" s="22" t="s">
        <v>1218</v>
      </c>
      <c r="B494" s="6" t="s">
        <v>1219</v>
      </c>
      <c r="C494" s="7" t="s">
        <v>1220</v>
      </c>
      <c r="D494" s="8">
        <v>0</v>
      </c>
      <c r="H494" s="22">
        <v>0</v>
      </c>
    </row>
    <row r="495" spans="1:8" ht="45" customHeight="1" x14ac:dyDescent="0.25">
      <c r="A495" s="24"/>
      <c r="B495" s="6" t="s">
        <v>1221</v>
      </c>
      <c r="C495" s="7" t="s">
        <v>1222</v>
      </c>
      <c r="D495" s="8">
        <v>0</v>
      </c>
      <c r="H495" s="24"/>
    </row>
    <row r="496" spans="1:8" ht="45" customHeight="1" x14ac:dyDescent="0.25">
      <c r="A496" s="22" t="s">
        <v>1223</v>
      </c>
      <c r="B496" s="6" t="s">
        <v>1224</v>
      </c>
      <c r="C496" s="7" t="s">
        <v>1225</v>
      </c>
      <c r="D496" s="8">
        <f>40000</f>
        <v>40000</v>
      </c>
      <c r="H496" s="22">
        <v>80000</v>
      </c>
    </row>
    <row r="497" spans="1:8" ht="45" customHeight="1" x14ac:dyDescent="0.25">
      <c r="A497" s="24"/>
      <c r="B497" s="6" t="s">
        <v>1226</v>
      </c>
      <c r="C497" s="7" t="s">
        <v>1227</v>
      </c>
      <c r="D497" s="8">
        <v>0</v>
      </c>
      <c r="H497" s="24"/>
    </row>
    <row r="498" spans="1:8" ht="45" customHeight="1" x14ac:dyDescent="0.25">
      <c r="A498" s="22" t="s">
        <v>1228</v>
      </c>
      <c r="B498" s="6" t="s">
        <v>1229</v>
      </c>
      <c r="C498" s="7" t="s">
        <v>1230</v>
      </c>
      <c r="D498" s="8">
        <v>0</v>
      </c>
      <c r="H498" s="22">
        <v>0</v>
      </c>
    </row>
    <row r="499" spans="1:8" ht="45" customHeight="1" x14ac:dyDescent="0.25">
      <c r="A499" s="24"/>
      <c r="B499" s="6" t="s">
        <v>1231</v>
      </c>
      <c r="C499" s="7" t="s">
        <v>1232</v>
      </c>
      <c r="D499" s="8">
        <f>20000-10000</f>
        <v>10000</v>
      </c>
      <c r="H499" s="24"/>
    </row>
    <row r="500" spans="1:8" ht="45" customHeight="1" x14ac:dyDescent="0.25">
      <c r="A500" s="5" t="s">
        <v>1233</v>
      </c>
      <c r="B500" s="6" t="s">
        <v>1234</v>
      </c>
      <c r="C500" s="7" t="s">
        <v>1235</v>
      </c>
      <c r="D500" s="8">
        <v>2000</v>
      </c>
      <c r="E500" s="9">
        <v>2000</v>
      </c>
      <c r="H500" s="5">
        <v>9000</v>
      </c>
    </row>
    <row r="501" spans="1:8" ht="45" customHeight="1" x14ac:dyDescent="0.25">
      <c r="A501" s="5" t="s">
        <v>1236</v>
      </c>
      <c r="B501" s="6" t="s">
        <v>1237</v>
      </c>
      <c r="C501" s="7" t="s">
        <v>1238</v>
      </c>
      <c r="D501" s="8">
        <f>42000-8000</f>
        <v>34000</v>
      </c>
      <c r="H501" s="5">
        <v>72000</v>
      </c>
    </row>
    <row r="502" spans="1:8" ht="45" customHeight="1" x14ac:dyDescent="0.25">
      <c r="A502" s="5" t="s">
        <v>1239</v>
      </c>
      <c r="B502" s="6" t="s">
        <v>1240</v>
      </c>
      <c r="C502" s="7" t="s">
        <v>1241</v>
      </c>
      <c r="D502" s="8">
        <v>0</v>
      </c>
      <c r="H502" s="5">
        <v>0</v>
      </c>
    </row>
    <row r="503" spans="1:8" ht="45" customHeight="1" x14ac:dyDescent="0.25">
      <c r="A503" s="5" t="s">
        <v>1242</v>
      </c>
      <c r="B503" s="6" t="s">
        <v>1243</v>
      </c>
      <c r="C503" s="7" t="s">
        <v>1244</v>
      </c>
      <c r="D503" s="8">
        <v>0</v>
      </c>
      <c r="H503" s="5">
        <v>0</v>
      </c>
    </row>
    <row r="504" spans="1:8" ht="45" customHeight="1" x14ac:dyDescent="0.25">
      <c r="A504" s="5" t="s">
        <v>1245</v>
      </c>
      <c r="B504" s="6" t="s">
        <v>1246</v>
      </c>
      <c r="C504" s="7" t="s">
        <v>1247</v>
      </c>
      <c r="D504" s="8">
        <v>0</v>
      </c>
      <c r="G504" s="13"/>
      <c r="H504" s="5">
        <v>0</v>
      </c>
    </row>
    <row r="505" spans="1:8" ht="45" customHeight="1" x14ac:dyDescent="0.25">
      <c r="A505" s="22" t="s">
        <v>1248</v>
      </c>
      <c r="B505" s="6" t="s">
        <v>1249</v>
      </c>
      <c r="C505" s="7" t="s">
        <v>1250</v>
      </c>
      <c r="D505" s="8">
        <f>10000</f>
        <v>10000</v>
      </c>
      <c r="H505" s="22">
        <v>0</v>
      </c>
    </row>
    <row r="506" spans="1:8" ht="45" customHeight="1" x14ac:dyDescent="0.25">
      <c r="A506" s="24"/>
      <c r="B506" s="6" t="s">
        <v>1251</v>
      </c>
      <c r="C506" s="7" t="s">
        <v>1252</v>
      </c>
      <c r="D506" s="8">
        <f>10000-10000</f>
        <v>0</v>
      </c>
      <c r="H506" s="24"/>
    </row>
    <row r="507" spans="1:8" ht="45" customHeight="1" x14ac:dyDescent="0.25">
      <c r="A507" s="22" t="s">
        <v>1253</v>
      </c>
      <c r="B507" s="6" t="s">
        <v>1254</v>
      </c>
      <c r="C507" s="7" t="s">
        <v>1255</v>
      </c>
      <c r="D507" s="8">
        <v>0</v>
      </c>
      <c r="H507" s="22">
        <v>0</v>
      </c>
    </row>
    <row r="508" spans="1:8" ht="45" customHeight="1" x14ac:dyDescent="0.25">
      <c r="A508" s="24"/>
      <c r="B508" s="6" t="s">
        <v>1256</v>
      </c>
      <c r="C508" s="7" t="s">
        <v>1257</v>
      </c>
      <c r="D508" s="8">
        <f>30000-10000</f>
        <v>20000</v>
      </c>
      <c r="H508" s="24"/>
    </row>
    <row r="509" spans="1:8" ht="45" customHeight="1" x14ac:dyDescent="0.25">
      <c r="A509" s="5" t="s">
        <v>1258</v>
      </c>
      <c r="B509" s="6" t="s">
        <v>1259</v>
      </c>
      <c r="C509" s="7" t="s">
        <v>1260</v>
      </c>
      <c r="D509" s="8">
        <f>10000</f>
        <v>10000</v>
      </c>
      <c r="H509" s="5">
        <v>10000</v>
      </c>
    </row>
    <row r="510" spans="1:8" ht="45" customHeight="1" x14ac:dyDescent="0.25">
      <c r="A510" s="5" t="s">
        <v>1261</v>
      </c>
      <c r="B510" s="15" t="s">
        <v>1262</v>
      </c>
      <c r="C510" s="7" t="s">
        <v>1263</v>
      </c>
      <c r="D510" s="8">
        <v>0</v>
      </c>
      <c r="H510" s="5">
        <v>0</v>
      </c>
    </row>
    <row r="511" spans="1:8" ht="45" customHeight="1" x14ac:dyDescent="0.25">
      <c r="A511" s="22" t="s">
        <v>1264</v>
      </c>
      <c r="B511" s="6" t="s">
        <v>1265</v>
      </c>
      <c r="C511" s="7" t="s">
        <v>1266</v>
      </c>
      <c r="D511" s="8">
        <f>30000-10000</f>
        <v>20000</v>
      </c>
      <c r="H511" s="22">
        <v>0</v>
      </c>
    </row>
    <row r="512" spans="1:8" ht="45" customHeight="1" x14ac:dyDescent="0.25">
      <c r="A512" s="24"/>
      <c r="B512" s="15" t="s">
        <v>1267</v>
      </c>
      <c r="C512" s="7" t="s">
        <v>1268</v>
      </c>
      <c r="D512" s="8">
        <v>0</v>
      </c>
      <c r="H512" s="24"/>
    </row>
    <row r="513" spans="1:8" ht="45" customHeight="1" x14ac:dyDescent="0.25">
      <c r="A513" s="5" t="s">
        <v>1269</v>
      </c>
      <c r="B513" s="6" t="s">
        <v>1270</v>
      </c>
      <c r="C513" s="7" t="s">
        <v>1271</v>
      </c>
      <c r="D513" s="8">
        <f>24000-3000-3000</f>
        <v>18000</v>
      </c>
      <c r="H513" s="5">
        <v>0</v>
      </c>
    </row>
    <row r="514" spans="1:8" ht="45" customHeight="1" x14ac:dyDescent="0.25">
      <c r="A514" s="5" t="s">
        <v>1272</v>
      </c>
      <c r="B514" s="6" t="s">
        <v>1273</v>
      </c>
      <c r="C514" s="7" t="s">
        <v>1274</v>
      </c>
      <c r="D514" s="8">
        <v>0</v>
      </c>
      <c r="H514" s="5">
        <v>0</v>
      </c>
    </row>
    <row r="515" spans="1:8" ht="45" customHeight="1" x14ac:dyDescent="0.25">
      <c r="A515" s="22" t="s">
        <v>1275</v>
      </c>
      <c r="B515" s="6" t="s">
        <v>1276</v>
      </c>
      <c r="C515" s="7" t="s">
        <v>1277</v>
      </c>
      <c r="D515" s="8">
        <v>0</v>
      </c>
      <c r="H515" s="22">
        <v>54000</v>
      </c>
    </row>
    <row r="516" spans="1:8" ht="45" customHeight="1" x14ac:dyDescent="0.25">
      <c r="A516" s="23"/>
      <c r="B516" s="6" t="s">
        <v>1278</v>
      </c>
      <c r="C516" s="7" t="s">
        <v>1279</v>
      </c>
      <c r="D516" s="8">
        <v>36000</v>
      </c>
      <c r="G516" s="13"/>
      <c r="H516" s="23"/>
    </row>
    <row r="517" spans="1:8" ht="45" customHeight="1" x14ac:dyDescent="0.25">
      <c r="A517" s="24"/>
      <c r="B517" s="6" t="s">
        <v>1280</v>
      </c>
      <c r="C517" s="7" t="s">
        <v>1281</v>
      </c>
      <c r="D517" s="8">
        <v>0</v>
      </c>
      <c r="H517" s="24"/>
    </row>
    <row r="518" spans="1:8" ht="45" customHeight="1" x14ac:dyDescent="0.25">
      <c r="A518" s="22" t="s">
        <v>1282</v>
      </c>
      <c r="B518" s="11" t="s">
        <v>1283</v>
      </c>
      <c r="C518" s="7" t="s">
        <v>1284</v>
      </c>
      <c r="D518" s="8">
        <v>0</v>
      </c>
      <c r="H518" s="22">
        <v>0</v>
      </c>
    </row>
    <row r="519" spans="1:8" ht="45" customHeight="1" x14ac:dyDescent="0.25">
      <c r="A519" s="24"/>
      <c r="B519" s="6" t="s">
        <v>1285</v>
      </c>
      <c r="C519" s="7" t="s">
        <v>1286</v>
      </c>
      <c r="D519" s="8">
        <v>30000</v>
      </c>
      <c r="H519" s="24"/>
    </row>
    <row r="520" spans="1:8" ht="45" customHeight="1" x14ac:dyDescent="0.25">
      <c r="A520" s="22" t="s">
        <v>1287</v>
      </c>
      <c r="B520" s="6" t="s">
        <v>1288</v>
      </c>
      <c r="C520" s="7" t="s">
        <v>1289</v>
      </c>
      <c r="D520" s="8">
        <v>0</v>
      </c>
      <c r="H520" s="22">
        <v>228000</v>
      </c>
    </row>
    <row r="521" spans="1:8" ht="45" customHeight="1" x14ac:dyDescent="0.25">
      <c r="A521" s="23"/>
      <c r="B521" s="6" t="s">
        <v>1290</v>
      </c>
      <c r="C521" s="7" t="s">
        <v>1291</v>
      </c>
      <c r="D521" s="8">
        <v>0</v>
      </c>
      <c r="E521" s="9">
        <v>160000</v>
      </c>
      <c r="F521" s="9">
        <v>44000</v>
      </c>
      <c r="H521" s="23"/>
    </row>
    <row r="522" spans="1:8" ht="45" customHeight="1" x14ac:dyDescent="0.25">
      <c r="A522" s="24"/>
      <c r="B522" s="6" t="s">
        <v>1292</v>
      </c>
      <c r="C522" s="7" t="s">
        <v>1293</v>
      </c>
      <c r="D522" s="8">
        <v>0</v>
      </c>
      <c r="H522" s="24"/>
    </row>
    <row r="523" spans="1:8" ht="45" customHeight="1" x14ac:dyDescent="0.25">
      <c r="A523" s="22" t="s">
        <v>1294</v>
      </c>
      <c r="B523" s="6" t="s">
        <v>1295</v>
      </c>
      <c r="C523" s="7" t="s">
        <v>1296</v>
      </c>
      <c r="D523" s="8">
        <v>0</v>
      </c>
      <c r="H523" s="22">
        <v>0</v>
      </c>
    </row>
    <row r="524" spans="1:8" ht="45" customHeight="1" x14ac:dyDescent="0.25">
      <c r="A524" s="24"/>
      <c r="B524" s="6" t="s">
        <v>1297</v>
      </c>
      <c r="C524" s="7" t="s">
        <v>1298</v>
      </c>
      <c r="D524" s="8">
        <v>0</v>
      </c>
      <c r="H524" s="24"/>
    </row>
    <row r="525" spans="1:8" ht="45" customHeight="1" x14ac:dyDescent="0.25">
      <c r="A525" s="5" t="s">
        <v>1299</v>
      </c>
      <c r="B525" s="6" t="s">
        <v>1300</v>
      </c>
      <c r="C525" s="7" t="s">
        <v>1301</v>
      </c>
      <c r="D525" s="8">
        <v>25000</v>
      </c>
      <c r="H525" s="5">
        <v>14000</v>
      </c>
    </row>
    <row r="526" spans="1:8" ht="45" customHeight="1" x14ac:dyDescent="0.25">
      <c r="A526" s="22" t="s">
        <v>1302</v>
      </c>
      <c r="B526" s="6" t="s">
        <v>1303</v>
      </c>
      <c r="C526" s="7" t="s">
        <v>1304</v>
      </c>
      <c r="D526" s="8">
        <f>105000-30000-15000-60000</f>
        <v>0</v>
      </c>
      <c r="H526" s="22">
        <v>0</v>
      </c>
    </row>
    <row r="527" spans="1:8" ht="45" customHeight="1" x14ac:dyDescent="0.25">
      <c r="A527" s="24"/>
      <c r="B527" s="6" t="s">
        <v>1305</v>
      </c>
      <c r="C527" s="7" t="s">
        <v>1306</v>
      </c>
      <c r="D527" s="8">
        <f>60000</f>
        <v>60000</v>
      </c>
      <c r="H527" s="24"/>
    </row>
    <row r="528" spans="1:8" ht="45" customHeight="1" x14ac:dyDescent="0.25">
      <c r="A528" s="22" t="s">
        <v>1307</v>
      </c>
      <c r="B528" s="6" t="s">
        <v>1308</v>
      </c>
      <c r="C528" s="7" t="s">
        <v>1309</v>
      </c>
      <c r="D528" s="8">
        <v>225000</v>
      </c>
      <c r="H528" s="22">
        <v>105000</v>
      </c>
    </row>
    <row r="529" spans="1:8" ht="45" customHeight="1" x14ac:dyDescent="0.25">
      <c r="A529" s="24"/>
      <c r="B529" s="6" t="s">
        <v>1310</v>
      </c>
      <c r="C529" s="7" t="s">
        <v>1311</v>
      </c>
      <c r="D529" s="8">
        <v>0</v>
      </c>
      <c r="H529" s="24"/>
    </row>
    <row r="530" spans="1:8" ht="45" customHeight="1" x14ac:dyDescent="0.25">
      <c r="A530" s="22" t="s">
        <v>1312</v>
      </c>
      <c r="B530" s="6" t="s">
        <v>1313</v>
      </c>
      <c r="C530" s="7" t="s">
        <v>1314</v>
      </c>
      <c r="D530" s="8">
        <v>0</v>
      </c>
      <c r="H530" s="22">
        <v>615000</v>
      </c>
    </row>
    <row r="531" spans="1:8" ht="45" customHeight="1" x14ac:dyDescent="0.25">
      <c r="A531" s="24"/>
      <c r="B531" s="6" t="s">
        <v>1315</v>
      </c>
      <c r="C531" s="7" t="s">
        <v>1316</v>
      </c>
      <c r="D531" s="8">
        <v>210000</v>
      </c>
      <c r="H531" s="24"/>
    </row>
    <row r="532" spans="1:8" ht="45" customHeight="1" x14ac:dyDescent="0.25">
      <c r="A532" s="5" t="s">
        <v>1317</v>
      </c>
      <c r="B532" s="6" t="s">
        <v>1318</v>
      </c>
      <c r="C532" s="7" t="s">
        <v>1319</v>
      </c>
      <c r="D532" s="8">
        <f>20000</f>
        <v>20000</v>
      </c>
      <c r="H532" s="5">
        <v>0</v>
      </c>
    </row>
    <row r="533" spans="1:8" ht="45" customHeight="1" x14ac:dyDescent="0.25">
      <c r="A533" s="5" t="s">
        <v>1320</v>
      </c>
      <c r="B533" s="6" t="s">
        <v>1321</v>
      </c>
      <c r="C533" s="7" t="s">
        <v>1322</v>
      </c>
      <c r="D533" s="8">
        <f>20000</f>
        <v>20000</v>
      </c>
      <c r="H533" s="5">
        <v>0</v>
      </c>
    </row>
    <row r="534" spans="1:8" ht="45" customHeight="1" x14ac:dyDescent="0.25">
      <c r="A534" s="5" t="s">
        <v>1323</v>
      </c>
      <c r="B534" s="6" t="s">
        <v>1324</v>
      </c>
      <c r="C534" s="7" t="s">
        <v>1325</v>
      </c>
      <c r="D534" s="8">
        <v>900</v>
      </c>
      <c r="E534" s="9">
        <v>900</v>
      </c>
      <c r="H534" s="5">
        <v>2700</v>
      </c>
    </row>
    <row r="535" spans="1:8" ht="45" customHeight="1" x14ac:dyDescent="0.25">
      <c r="A535" s="22" t="s">
        <v>1326</v>
      </c>
      <c r="B535" s="6" t="s">
        <v>1327</v>
      </c>
      <c r="C535" s="7" t="s">
        <v>1328</v>
      </c>
      <c r="D535" s="8">
        <f>40000-30000</f>
        <v>10000</v>
      </c>
      <c r="H535" s="22">
        <v>0</v>
      </c>
    </row>
    <row r="536" spans="1:8" ht="45" customHeight="1" x14ac:dyDescent="0.25">
      <c r="A536" s="24"/>
      <c r="B536" s="6" t="s">
        <v>1329</v>
      </c>
      <c r="C536" s="7" t="s">
        <v>1330</v>
      </c>
      <c r="D536" s="8">
        <f>70000</f>
        <v>70000</v>
      </c>
      <c r="H536" s="24"/>
    </row>
    <row r="537" spans="1:8" ht="45" customHeight="1" x14ac:dyDescent="0.25">
      <c r="A537" s="22" t="s">
        <v>1331</v>
      </c>
      <c r="B537" s="6" t="s">
        <v>1332</v>
      </c>
      <c r="C537" s="7" t="s">
        <v>1333</v>
      </c>
      <c r="D537" s="8">
        <v>0</v>
      </c>
      <c r="H537" s="22">
        <v>20000</v>
      </c>
    </row>
    <row r="538" spans="1:8" ht="45" customHeight="1" x14ac:dyDescent="0.25">
      <c r="A538" s="24"/>
      <c r="B538" s="6" t="s">
        <v>1334</v>
      </c>
      <c r="C538" s="7" t="s">
        <v>1335</v>
      </c>
      <c r="D538" s="8">
        <v>0</v>
      </c>
      <c r="H538" s="24"/>
    </row>
    <row r="539" spans="1:8" ht="45" customHeight="1" x14ac:dyDescent="0.25">
      <c r="A539" s="5" t="s">
        <v>1336</v>
      </c>
      <c r="B539" s="6" t="s">
        <v>1337</v>
      </c>
      <c r="C539" s="7" t="s">
        <v>1338</v>
      </c>
      <c r="D539" s="8">
        <f>30000</f>
        <v>30000</v>
      </c>
      <c r="H539" s="5">
        <v>0</v>
      </c>
    </row>
    <row r="540" spans="1:8" ht="45" customHeight="1" x14ac:dyDescent="0.25">
      <c r="A540" s="5" t="s">
        <v>1339</v>
      </c>
      <c r="B540" s="6" t="s">
        <v>1340</v>
      </c>
      <c r="C540" s="7" t="s">
        <v>1341</v>
      </c>
      <c r="D540" s="8">
        <f>4000</f>
        <v>4000</v>
      </c>
      <c r="H540" s="5">
        <v>0</v>
      </c>
    </row>
    <row r="541" spans="1:8" ht="45" customHeight="1" x14ac:dyDescent="0.25">
      <c r="A541" s="22" t="s">
        <v>1342</v>
      </c>
      <c r="B541" s="6" t="s">
        <v>1343</v>
      </c>
      <c r="C541" s="7" t="s">
        <v>1344</v>
      </c>
      <c r="D541" s="8">
        <f>820000-90000</f>
        <v>730000</v>
      </c>
      <c r="E541" s="9">
        <v>600000</v>
      </c>
      <c r="G541" s="13" t="s">
        <v>1345</v>
      </c>
      <c r="H541" s="22">
        <v>1250000</v>
      </c>
    </row>
    <row r="542" spans="1:8" ht="45" customHeight="1" x14ac:dyDescent="0.25">
      <c r="A542" s="24"/>
      <c r="B542" s="6" t="s">
        <v>1346</v>
      </c>
      <c r="C542" s="7" t="s">
        <v>1347</v>
      </c>
      <c r="D542" s="8">
        <v>0</v>
      </c>
      <c r="H542" s="24"/>
    </row>
    <row r="543" spans="1:8" ht="45" customHeight="1" x14ac:dyDescent="0.25">
      <c r="A543" s="5" t="s">
        <v>1348</v>
      </c>
      <c r="B543" s="6" t="s">
        <v>1349</v>
      </c>
      <c r="C543" s="7" t="s">
        <v>1350</v>
      </c>
      <c r="D543" s="8">
        <f>20000-10000</f>
        <v>10000</v>
      </c>
      <c r="H543" s="5">
        <v>0</v>
      </c>
    </row>
    <row r="544" spans="1:8" ht="45" customHeight="1" x14ac:dyDescent="0.25">
      <c r="A544" s="5" t="s">
        <v>1351</v>
      </c>
      <c r="B544" s="6" t="s">
        <v>1352</v>
      </c>
      <c r="C544" s="7" t="s">
        <v>1353</v>
      </c>
      <c r="D544" s="8">
        <f>2500-500</f>
        <v>2000</v>
      </c>
      <c r="H544" s="5">
        <v>0</v>
      </c>
    </row>
    <row r="545" spans="1:8" ht="45" customHeight="1" x14ac:dyDescent="0.25">
      <c r="A545" s="5" t="s">
        <v>1354</v>
      </c>
      <c r="B545" s="6" t="s">
        <v>1355</v>
      </c>
      <c r="C545" s="7" t="s">
        <v>1356</v>
      </c>
      <c r="D545" s="8">
        <v>36000</v>
      </c>
      <c r="H545" s="5">
        <v>48000</v>
      </c>
    </row>
    <row r="546" spans="1:8" ht="45" customHeight="1" x14ac:dyDescent="0.25">
      <c r="A546" s="5" t="s">
        <v>1357</v>
      </c>
      <c r="B546" s="6" t="s">
        <v>1358</v>
      </c>
      <c r="C546" s="7" t="s">
        <v>1359</v>
      </c>
      <c r="D546" s="8">
        <v>1000</v>
      </c>
      <c r="H546" s="5">
        <v>0</v>
      </c>
    </row>
    <row r="547" spans="1:8" ht="45" customHeight="1" x14ac:dyDescent="0.25">
      <c r="A547" s="5" t="s">
        <v>1360</v>
      </c>
      <c r="B547" s="6" t="s">
        <v>1361</v>
      </c>
      <c r="C547" s="7" t="s">
        <v>1362</v>
      </c>
      <c r="D547" s="8">
        <v>0</v>
      </c>
      <c r="G547" s="11"/>
      <c r="H547" s="5">
        <v>3000</v>
      </c>
    </row>
    <row r="548" spans="1:8" ht="45" customHeight="1" x14ac:dyDescent="0.25">
      <c r="A548" s="22" t="s">
        <v>1363</v>
      </c>
      <c r="B548" s="6" t="s">
        <v>1364</v>
      </c>
      <c r="C548" s="7" t="s">
        <v>1365</v>
      </c>
      <c r="D548" s="8">
        <f>10000</f>
        <v>10000</v>
      </c>
      <c r="H548" s="22">
        <v>10000</v>
      </c>
    </row>
    <row r="549" spans="1:8" ht="45" customHeight="1" x14ac:dyDescent="0.25">
      <c r="A549" s="24"/>
      <c r="B549" s="6" t="s">
        <v>1366</v>
      </c>
      <c r="C549" s="7" t="s">
        <v>1367</v>
      </c>
      <c r="D549" s="8">
        <v>10000</v>
      </c>
      <c r="H549" s="24"/>
    </row>
    <row r="550" spans="1:8" ht="45" customHeight="1" x14ac:dyDescent="0.25">
      <c r="A550" s="22" t="s">
        <v>1368</v>
      </c>
      <c r="B550" s="6" t="s">
        <v>1369</v>
      </c>
      <c r="C550" s="7" t="s">
        <v>1370</v>
      </c>
      <c r="D550" s="8">
        <v>0</v>
      </c>
      <c r="H550" s="22">
        <v>4000</v>
      </c>
    </row>
    <row r="551" spans="1:8" ht="45" customHeight="1" x14ac:dyDescent="0.25">
      <c r="A551" s="24"/>
      <c r="B551" s="6" t="s">
        <v>1371</v>
      </c>
      <c r="C551" s="7" t="s">
        <v>1372</v>
      </c>
      <c r="D551" s="8">
        <f>16000-4000-4000</f>
        <v>8000</v>
      </c>
      <c r="H551" s="24"/>
    </row>
    <row r="552" spans="1:8" ht="45" customHeight="1" x14ac:dyDescent="0.25">
      <c r="A552" s="22" t="s">
        <v>1373</v>
      </c>
      <c r="B552" s="6" t="s">
        <v>1374</v>
      </c>
      <c r="C552" s="7" t="s">
        <v>1375</v>
      </c>
      <c r="D552" s="8">
        <v>0</v>
      </c>
      <c r="H552" s="22">
        <v>4000</v>
      </c>
    </row>
    <row r="553" spans="1:8" ht="45" customHeight="1" x14ac:dyDescent="0.25">
      <c r="A553" s="23"/>
      <c r="B553" s="6" t="s">
        <v>1376</v>
      </c>
      <c r="C553" s="7" t="s">
        <v>1377</v>
      </c>
      <c r="D553" s="8">
        <v>0</v>
      </c>
      <c r="H553" s="23"/>
    </row>
    <row r="554" spans="1:8" ht="45" customHeight="1" x14ac:dyDescent="0.25">
      <c r="A554" s="23"/>
      <c r="B554" s="6" t="s">
        <v>1378</v>
      </c>
      <c r="C554" s="7" t="s">
        <v>1379</v>
      </c>
      <c r="D554" s="8">
        <v>0</v>
      </c>
      <c r="H554" s="23"/>
    </row>
    <row r="555" spans="1:8" ht="45" customHeight="1" x14ac:dyDescent="0.25">
      <c r="A555" s="23"/>
      <c r="B555" s="6" t="s">
        <v>1380</v>
      </c>
      <c r="C555" s="7" t="s">
        <v>1381</v>
      </c>
      <c r="D555" s="8">
        <v>0</v>
      </c>
      <c r="H555" s="23"/>
    </row>
    <row r="556" spans="1:8" ht="45" customHeight="1" x14ac:dyDescent="0.25">
      <c r="A556" s="24"/>
      <c r="B556" s="6" t="s">
        <v>1382</v>
      </c>
      <c r="C556" s="7" t="s">
        <v>1383</v>
      </c>
      <c r="D556" s="8">
        <v>16000</v>
      </c>
      <c r="H556" s="24"/>
    </row>
    <row r="557" spans="1:8" ht="45" customHeight="1" x14ac:dyDescent="0.25">
      <c r="A557" s="22" t="s">
        <v>1384</v>
      </c>
      <c r="B557" s="6" t="s">
        <v>1385</v>
      </c>
      <c r="C557" s="7" t="s">
        <v>1386</v>
      </c>
      <c r="D557" s="8">
        <v>16000</v>
      </c>
      <c r="H557" s="22">
        <v>20000</v>
      </c>
    </row>
    <row r="558" spans="1:8" ht="45" customHeight="1" x14ac:dyDescent="0.25">
      <c r="A558" s="24"/>
      <c r="B558" s="6" t="s">
        <v>1387</v>
      </c>
      <c r="C558" s="7" t="s">
        <v>1388</v>
      </c>
      <c r="D558" s="8">
        <v>0</v>
      </c>
      <c r="H558" s="24"/>
    </row>
    <row r="559" spans="1:8" ht="45" customHeight="1" x14ac:dyDescent="0.25">
      <c r="A559" s="22" t="s">
        <v>1389</v>
      </c>
      <c r="B559" s="6" t="s">
        <v>1390</v>
      </c>
      <c r="C559" s="7" t="s">
        <v>1391</v>
      </c>
      <c r="D559" s="8">
        <f>40000</f>
        <v>40000</v>
      </c>
      <c r="H559" s="22">
        <v>20000</v>
      </c>
    </row>
    <row r="560" spans="1:8" ht="45" customHeight="1" x14ac:dyDescent="0.25">
      <c r="A560" s="23"/>
      <c r="B560" s="6" t="s">
        <v>1392</v>
      </c>
      <c r="C560" s="7" t="s">
        <v>1393</v>
      </c>
      <c r="D560" s="8">
        <v>0</v>
      </c>
      <c r="H560" s="23"/>
    </row>
    <row r="561" spans="1:8" ht="45" customHeight="1" x14ac:dyDescent="0.25">
      <c r="A561" s="24"/>
      <c r="B561" s="6" t="s">
        <v>1394</v>
      </c>
      <c r="C561" s="7" t="s">
        <v>1395</v>
      </c>
      <c r="D561" s="8">
        <v>0</v>
      </c>
      <c r="H561" s="24"/>
    </row>
    <row r="562" spans="1:8" ht="45" customHeight="1" x14ac:dyDescent="0.25">
      <c r="A562" s="22" t="s">
        <v>1396</v>
      </c>
      <c r="B562" s="6" t="s">
        <v>1397</v>
      </c>
      <c r="C562" s="7" t="s">
        <v>1398</v>
      </c>
      <c r="D562" s="8">
        <v>27000</v>
      </c>
      <c r="E562" s="9">
        <v>30000</v>
      </c>
      <c r="G562" s="14" t="s">
        <v>1399</v>
      </c>
      <c r="H562" s="22">
        <v>33000</v>
      </c>
    </row>
    <row r="563" spans="1:8" ht="45" customHeight="1" x14ac:dyDescent="0.25">
      <c r="A563" s="24"/>
      <c r="B563" s="6" t="s">
        <v>1400</v>
      </c>
      <c r="C563" s="7" t="s">
        <v>1398</v>
      </c>
      <c r="D563" s="8">
        <v>0</v>
      </c>
      <c r="H563" s="24"/>
    </row>
    <row r="564" spans="1:8" ht="45" customHeight="1" x14ac:dyDescent="0.25">
      <c r="A564" s="22" t="s">
        <v>1401</v>
      </c>
      <c r="B564" s="6" t="s">
        <v>1402</v>
      </c>
      <c r="C564" s="7" t="s">
        <v>1403</v>
      </c>
      <c r="D564" s="8">
        <v>0</v>
      </c>
      <c r="H564" s="22">
        <v>420000</v>
      </c>
    </row>
    <row r="565" spans="1:8" ht="45" customHeight="1" x14ac:dyDescent="0.25">
      <c r="A565" s="23"/>
      <c r="B565" s="6" t="s">
        <v>1404</v>
      </c>
      <c r="C565" s="7" t="s">
        <v>1405</v>
      </c>
      <c r="D565" s="8">
        <v>0</v>
      </c>
      <c r="H565" s="23"/>
    </row>
    <row r="566" spans="1:8" ht="45" customHeight="1" x14ac:dyDescent="0.25">
      <c r="A566" s="24"/>
      <c r="B566" s="6" t="s">
        <v>1406</v>
      </c>
      <c r="C566" s="7" t="s">
        <v>1407</v>
      </c>
      <c r="D566" s="8">
        <f>150000-10000</f>
        <v>140000</v>
      </c>
      <c r="G566" s="18"/>
      <c r="H566" s="24"/>
    </row>
    <row r="567" spans="1:8" ht="45" customHeight="1" x14ac:dyDescent="0.25">
      <c r="A567" s="5" t="s">
        <v>1408</v>
      </c>
      <c r="B567" s="6" t="s">
        <v>1409</v>
      </c>
      <c r="C567" s="7" t="s">
        <v>1410</v>
      </c>
      <c r="D567" s="8">
        <v>32000</v>
      </c>
      <c r="H567" s="5">
        <v>124000</v>
      </c>
    </row>
    <row r="568" spans="1:8" ht="45" customHeight="1" x14ac:dyDescent="0.25">
      <c r="A568" s="22" t="s">
        <v>1411</v>
      </c>
      <c r="B568" s="6" t="s">
        <v>1412</v>
      </c>
      <c r="C568" s="7" t="s">
        <v>1413</v>
      </c>
      <c r="D568" s="8">
        <v>0</v>
      </c>
      <c r="H568" s="22">
        <v>10000</v>
      </c>
    </row>
    <row r="569" spans="1:8" ht="45" customHeight="1" x14ac:dyDescent="0.25">
      <c r="A569" s="24"/>
      <c r="B569" s="6" t="s">
        <v>1414</v>
      </c>
      <c r="C569" s="7" t="s">
        <v>1415</v>
      </c>
      <c r="D569" s="8">
        <f>10000</f>
        <v>10000</v>
      </c>
      <c r="H569" s="24"/>
    </row>
    <row r="570" spans="1:8" ht="45" customHeight="1" x14ac:dyDescent="0.25">
      <c r="A570" s="5" t="s">
        <v>1416</v>
      </c>
      <c r="B570" s="6" t="s">
        <v>1417</v>
      </c>
      <c r="C570" s="7" t="s">
        <v>1418</v>
      </c>
      <c r="D570" s="8">
        <v>0</v>
      </c>
      <c r="G570" s="11"/>
      <c r="H570" s="5">
        <v>5000</v>
      </c>
    </row>
    <row r="571" spans="1:8" ht="45" customHeight="1" x14ac:dyDescent="0.25">
      <c r="A571" s="5" t="s">
        <v>1419</v>
      </c>
      <c r="B571" s="6" t="s">
        <v>1420</v>
      </c>
      <c r="C571" s="7" t="s">
        <v>1421</v>
      </c>
      <c r="D571" s="8">
        <f>12000-8000</f>
        <v>4000</v>
      </c>
      <c r="H571" s="5">
        <v>80000</v>
      </c>
    </row>
    <row r="572" spans="1:8" ht="45" customHeight="1" x14ac:dyDescent="0.25">
      <c r="A572" s="5" t="s">
        <v>1422</v>
      </c>
      <c r="B572" s="6" t="s">
        <v>1423</v>
      </c>
      <c r="C572" s="7" t="s">
        <v>1424</v>
      </c>
      <c r="D572" s="8">
        <v>0</v>
      </c>
      <c r="H572" s="5">
        <v>0</v>
      </c>
    </row>
    <row r="573" spans="1:8" ht="45" customHeight="1" x14ac:dyDescent="0.25">
      <c r="A573" s="5" t="s">
        <v>1425</v>
      </c>
      <c r="B573" s="6" t="s">
        <v>1426</v>
      </c>
      <c r="C573" s="7" t="s">
        <v>1427</v>
      </c>
      <c r="D573" s="8">
        <f>4000</f>
        <v>4000</v>
      </c>
      <c r="H573" s="5">
        <v>0</v>
      </c>
    </row>
    <row r="574" spans="1:8" ht="45" customHeight="1" x14ac:dyDescent="0.25">
      <c r="A574" s="5" t="s">
        <v>1428</v>
      </c>
      <c r="B574" s="6" t="s">
        <v>1429</v>
      </c>
      <c r="C574" s="7" t="s">
        <v>1430</v>
      </c>
      <c r="D574" s="8">
        <f>30000</f>
        <v>30000</v>
      </c>
      <c r="H574" s="5">
        <v>10000</v>
      </c>
    </row>
    <row r="575" spans="1:8" ht="45" customHeight="1" x14ac:dyDescent="0.25">
      <c r="A575" s="22" t="s">
        <v>1431</v>
      </c>
      <c r="B575" s="6" t="s">
        <v>1432</v>
      </c>
      <c r="C575" s="7" t="s">
        <v>1433</v>
      </c>
      <c r="D575" s="8">
        <v>0</v>
      </c>
      <c r="H575" s="22">
        <v>90000</v>
      </c>
    </row>
    <row r="576" spans="1:8" ht="45" customHeight="1" x14ac:dyDescent="0.25">
      <c r="A576" s="24"/>
      <c r="B576" s="6" t="s">
        <v>1434</v>
      </c>
      <c r="C576" s="7" t="s">
        <v>1435</v>
      </c>
      <c r="D576" s="8">
        <f>180000-20000</f>
        <v>160000</v>
      </c>
      <c r="H576" s="24"/>
    </row>
    <row r="577" spans="1:8" ht="45" customHeight="1" x14ac:dyDescent="0.25">
      <c r="A577" s="22" t="s">
        <v>1436</v>
      </c>
      <c r="B577" s="6" t="s">
        <v>1437</v>
      </c>
      <c r="C577" s="7" t="s">
        <v>1438</v>
      </c>
      <c r="D577" s="8">
        <v>0</v>
      </c>
      <c r="H577" s="22">
        <v>0</v>
      </c>
    </row>
    <row r="578" spans="1:8" ht="45" customHeight="1" x14ac:dyDescent="0.25">
      <c r="A578" s="24"/>
      <c r="B578" s="6" t="s">
        <v>1439</v>
      </c>
      <c r="C578" s="7" t="s">
        <v>1440</v>
      </c>
      <c r="D578" s="8">
        <v>20000</v>
      </c>
      <c r="H578" s="24"/>
    </row>
    <row r="579" spans="1:8" ht="45" customHeight="1" x14ac:dyDescent="0.25">
      <c r="A579" s="22" t="s">
        <v>1441</v>
      </c>
      <c r="B579" s="6" t="s">
        <v>1442</v>
      </c>
      <c r="C579" s="7" t="s">
        <v>1443</v>
      </c>
      <c r="D579" s="8">
        <v>0</v>
      </c>
      <c r="H579" s="22">
        <v>0</v>
      </c>
    </row>
    <row r="580" spans="1:8" ht="45" customHeight="1" x14ac:dyDescent="0.25">
      <c r="A580" s="24"/>
      <c r="B580" s="6" t="s">
        <v>1444</v>
      </c>
      <c r="C580" s="7" t="s">
        <v>1445</v>
      </c>
      <c r="D580" s="8">
        <f>30000</f>
        <v>30000</v>
      </c>
      <c r="H580" s="24"/>
    </row>
    <row r="581" spans="1:8" ht="45" customHeight="1" x14ac:dyDescent="0.25">
      <c r="A581" s="5" t="s">
        <v>1446</v>
      </c>
      <c r="B581" s="6" t="s">
        <v>1447</v>
      </c>
      <c r="C581" s="7" t="s">
        <v>1448</v>
      </c>
      <c r="D581" s="8">
        <f>10000</f>
        <v>10000</v>
      </c>
      <c r="H581" s="5">
        <v>0</v>
      </c>
    </row>
    <row r="582" spans="1:8" ht="45" customHeight="1" x14ac:dyDescent="0.25">
      <c r="A582" s="22" t="s">
        <v>1449</v>
      </c>
      <c r="B582" s="6" t="s">
        <v>1450</v>
      </c>
      <c r="C582" s="7" t="s">
        <v>1451</v>
      </c>
      <c r="D582" s="8">
        <v>0</v>
      </c>
      <c r="H582" s="22">
        <v>9000</v>
      </c>
    </row>
    <row r="583" spans="1:8" ht="45" customHeight="1" x14ac:dyDescent="0.25">
      <c r="A583" s="24"/>
      <c r="B583" s="6" t="s">
        <v>1452</v>
      </c>
      <c r="C583" s="7" t="s">
        <v>1453</v>
      </c>
      <c r="D583" s="8">
        <f>18000-3000-3000-3000</f>
        <v>9000</v>
      </c>
      <c r="H583" s="24"/>
    </row>
    <row r="584" spans="1:8" ht="45" customHeight="1" x14ac:dyDescent="0.25">
      <c r="A584" s="22" t="s">
        <v>1454</v>
      </c>
      <c r="B584" s="6" t="s">
        <v>1455</v>
      </c>
      <c r="C584" s="7" t="s">
        <v>1456</v>
      </c>
      <c r="D584" s="8">
        <v>0</v>
      </c>
      <c r="H584" s="22">
        <v>0</v>
      </c>
    </row>
    <row r="585" spans="1:8" ht="45" customHeight="1" x14ac:dyDescent="0.25">
      <c r="A585" s="24"/>
      <c r="B585" s="6" t="s">
        <v>1457</v>
      </c>
      <c r="C585" s="7" t="s">
        <v>1458</v>
      </c>
      <c r="D585" s="8">
        <v>20000</v>
      </c>
      <c r="H585" s="24"/>
    </row>
    <row r="586" spans="1:8" ht="45" customHeight="1" x14ac:dyDescent="0.25">
      <c r="A586" s="5" t="s">
        <v>1459</v>
      </c>
      <c r="B586" s="6" t="s">
        <v>1460</v>
      </c>
      <c r="C586" s="7" t="s">
        <v>1461</v>
      </c>
      <c r="D586" s="8">
        <v>0</v>
      </c>
      <c r="H586" s="5">
        <v>0</v>
      </c>
    </row>
    <row r="587" spans="1:8" ht="45" customHeight="1" x14ac:dyDescent="0.25">
      <c r="A587" s="22" t="s">
        <v>1462</v>
      </c>
      <c r="B587" s="6" t="s">
        <v>1463</v>
      </c>
      <c r="C587" s="7" t="s">
        <v>1464</v>
      </c>
      <c r="D587" s="8">
        <v>0</v>
      </c>
      <c r="H587" s="22">
        <v>12000</v>
      </c>
    </row>
    <row r="588" spans="1:8" ht="45" customHeight="1" x14ac:dyDescent="0.25">
      <c r="A588" s="24"/>
      <c r="B588" s="6" t="s">
        <v>1465</v>
      </c>
      <c r="C588" s="7" t="s">
        <v>1466</v>
      </c>
      <c r="D588" s="8">
        <v>0</v>
      </c>
      <c r="H588" s="24"/>
    </row>
    <row r="589" spans="1:8" ht="45" customHeight="1" x14ac:dyDescent="0.25">
      <c r="A589" s="5" t="s">
        <v>1467</v>
      </c>
      <c r="B589" s="6" t="s">
        <v>1468</v>
      </c>
      <c r="C589" s="7" t="s">
        <v>1469</v>
      </c>
      <c r="D589" s="8">
        <f>8000</f>
        <v>8000</v>
      </c>
      <c r="H589" s="5">
        <v>0</v>
      </c>
    </row>
    <row r="590" spans="1:8" ht="45" customHeight="1" x14ac:dyDescent="0.25">
      <c r="A590" s="5" t="s">
        <v>1470</v>
      </c>
      <c r="B590" s="6" t="s">
        <v>1471</v>
      </c>
      <c r="C590" s="7" t="s">
        <v>1472</v>
      </c>
      <c r="D590" s="8">
        <f>30000</f>
        <v>30000</v>
      </c>
      <c r="H590" s="5">
        <v>0</v>
      </c>
    </row>
    <row r="591" spans="1:8" ht="45" customHeight="1" x14ac:dyDescent="0.25">
      <c r="A591" s="5" t="s">
        <v>1473</v>
      </c>
      <c r="B591" s="6" t="s">
        <v>1474</v>
      </c>
      <c r="C591" s="7" t="s">
        <v>1475</v>
      </c>
      <c r="D591" s="8">
        <v>0</v>
      </c>
      <c r="H591" s="5">
        <v>0</v>
      </c>
    </row>
    <row r="592" spans="1:8" ht="45" customHeight="1" x14ac:dyDescent="0.25">
      <c r="A592" s="22" t="s">
        <v>1476</v>
      </c>
      <c r="B592" s="6" t="s">
        <v>1477</v>
      </c>
      <c r="C592" s="7" t="s">
        <v>1478</v>
      </c>
      <c r="D592" s="8">
        <f>40000</f>
        <v>40000</v>
      </c>
      <c r="H592" s="22">
        <v>0</v>
      </c>
    </row>
    <row r="593" spans="1:8" ht="45" customHeight="1" x14ac:dyDescent="0.25">
      <c r="A593" s="23"/>
      <c r="B593" s="6" t="s">
        <v>1479</v>
      </c>
      <c r="C593" s="7" t="s">
        <v>1480</v>
      </c>
      <c r="D593" s="8">
        <v>0</v>
      </c>
      <c r="H593" s="23"/>
    </row>
    <row r="594" spans="1:8" ht="45" customHeight="1" x14ac:dyDescent="0.25">
      <c r="A594" s="24"/>
      <c r="B594" s="6" t="s">
        <v>1481</v>
      </c>
      <c r="C594" s="7" t="s">
        <v>1482</v>
      </c>
      <c r="D594" s="8">
        <v>0</v>
      </c>
      <c r="H594" s="24"/>
    </row>
    <row r="595" spans="1:8" ht="45" customHeight="1" x14ac:dyDescent="0.25">
      <c r="A595" s="22" t="s">
        <v>1483</v>
      </c>
      <c r="B595" s="19" t="s">
        <v>1484</v>
      </c>
      <c r="C595" s="20" t="s">
        <v>1485</v>
      </c>
      <c r="D595" s="8">
        <v>0</v>
      </c>
      <c r="H595" s="22">
        <v>10000</v>
      </c>
    </row>
    <row r="596" spans="1:8" ht="45" customHeight="1" x14ac:dyDescent="0.25">
      <c r="A596" s="23"/>
      <c r="B596" s="6" t="s">
        <v>1486</v>
      </c>
      <c r="C596" s="7" t="s">
        <v>1487</v>
      </c>
      <c r="D596" s="8">
        <f>10000</f>
        <v>10000</v>
      </c>
      <c r="H596" s="23"/>
    </row>
    <row r="597" spans="1:8" ht="45" customHeight="1" x14ac:dyDescent="0.25">
      <c r="A597" s="24"/>
      <c r="B597" s="6" t="s">
        <v>1488</v>
      </c>
      <c r="C597" s="7" t="s">
        <v>1489</v>
      </c>
      <c r="D597" s="8">
        <v>0</v>
      </c>
      <c r="H597" s="24"/>
    </row>
    <row r="598" spans="1:8" ht="45" customHeight="1" x14ac:dyDescent="0.25">
      <c r="A598" s="5" t="s">
        <v>1490</v>
      </c>
      <c r="B598" s="6" t="s">
        <v>1491</v>
      </c>
      <c r="C598" s="7" t="s">
        <v>1492</v>
      </c>
      <c r="D598" s="8">
        <v>4000</v>
      </c>
      <c r="H598" s="5">
        <v>8000</v>
      </c>
    </row>
    <row r="599" spans="1:8" ht="45" customHeight="1" x14ac:dyDescent="0.25">
      <c r="A599" s="5" t="s">
        <v>1493</v>
      </c>
      <c r="B599" s="6" t="s">
        <v>1494</v>
      </c>
      <c r="C599" s="7" t="s">
        <v>1495</v>
      </c>
      <c r="D599" s="8">
        <v>7500</v>
      </c>
      <c r="H599" s="5">
        <v>0</v>
      </c>
    </row>
    <row r="600" spans="1:8" ht="45" customHeight="1" x14ac:dyDescent="0.25">
      <c r="A600" s="5" t="s">
        <v>1496</v>
      </c>
      <c r="B600" s="6" t="s">
        <v>1497</v>
      </c>
      <c r="C600" s="7" t="s">
        <v>1498</v>
      </c>
      <c r="D600" s="8">
        <v>2700</v>
      </c>
      <c r="H600" s="5">
        <v>900</v>
      </c>
    </row>
    <row r="601" spans="1:8" ht="45" customHeight="1" x14ac:dyDescent="0.25">
      <c r="A601" s="5" t="s">
        <v>1499</v>
      </c>
      <c r="B601" s="6" t="s">
        <v>1500</v>
      </c>
      <c r="C601" s="7" t="s">
        <v>1501</v>
      </c>
      <c r="D601" s="8">
        <v>0</v>
      </c>
      <c r="H601" s="5">
        <v>0</v>
      </c>
    </row>
    <row r="602" spans="1:8" ht="45" customHeight="1" x14ac:dyDescent="0.25">
      <c r="A602" s="22" t="s">
        <v>1502</v>
      </c>
      <c r="B602" s="6" t="s">
        <v>1503</v>
      </c>
      <c r="C602" s="7" t="s">
        <v>1504</v>
      </c>
      <c r="D602" s="8">
        <v>0</v>
      </c>
      <c r="H602" s="22">
        <v>10000</v>
      </c>
    </row>
    <row r="603" spans="1:8" ht="45" customHeight="1" x14ac:dyDescent="0.25">
      <c r="A603" s="24"/>
      <c r="B603" s="6" t="s">
        <v>1505</v>
      </c>
      <c r="C603" s="7" t="s">
        <v>1506</v>
      </c>
      <c r="D603" s="8">
        <v>0</v>
      </c>
      <c r="H603" s="24"/>
    </row>
    <row r="604" spans="1:8" ht="45" customHeight="1" x14ac:dyDescent="0.25">
      <c r="A604" s="5" t="s">
        <v>1507</v>
      </c>
      <c r="B604" s="6" t="s">
        <v>1508</v>
      </c>
      <c r="C604" s="7" t="s">
        <v>1509</v>
      </c>
      <c r="D604" s="8">
        <v>0</v>
      </c>
      <c r="G604" s="11" t="s">
        <v>1510</v>
      </c>
      <c r="H604" s="5">
        <v>0</v>
      </c>
    </row>
    <row r="605" spans="1:8" ht="45" customHeight="1" x14ac:dyDescent="0.25">
      <c r="A605" s="5" t="s">
        <v>1511</v>
      </c>
      <c r="B605" s="6" t="s">
        <v>1512</v>
      </c>
      <c r="C605" s="7" t="s">
        <v>1513</v>
      </c>
      <c r="D605" s="8">
        <v>0</v>
      </c>
      <c r="H605" s="5">
        <v>0</v>
      </c>
    </row>
    <row r="606" spans="1:8" ht="45" customHeight="1" x14ac:dyDescent="0.25">
      <c r="A606" s="5" t="s">
        <v>1514</v>
      </c>
      <c r="B606" s="6" t="s">
        <v>1515</v>
      </c>
      <c r="C606" s="7" t="s">
        <v>1516</v>
      </c>
      <c r="D606" s="8">
        <f>6000</f>
        <v>6000</v>
      </c>
      <c r="H606" s="5">
        <v>2000</v>
      </c>
    </row>
    <row r="607" spans="1:8" ht="45" customHeight="1" x14ac:dyDescent="0.25">
      <c r="A607" s="5" t="s">
        <v>1517</v>
      </c>
      <c r="B607" s="6" t="s">
        <v>1518</v>
      </c>
      <c r="C607" s="7" t="s">
        <v>1519</v>
      </c>
      <c r="D607" s="8">
        <v>0</v>
      </c>
      <c r="G607" s="13"/>
      <c r="H607" s="5">
        <v>0</v>
      </c>
    </row>
    <row r="608" spans="1:8" ht="45" customHeight="1" x14ac:dyDescent="0.25">
      <c r="A608" s="5" t="s">
        <v>1520</v>
      </c>
      <c r="B608" s="6" t="s">
        <v>1521</v>
      </c>
      <c r="C608" s="7" t="s">
        <v>1522</v>
      </c>
      <c r="D608" s="8">
        <v>0</v>
      </c>
      <c r="G608" s="13"/>
      <c r="H608" s="5">
        <v>0</v>
      </c>
    </row>
    <row r="609" spans="1:8" ht="45" customHeight="1" x14ac:dyDescent="0.25">
      <c r="A609" s="5" t="s">
        <v>1523</v>
      </c>
      <c r="B609" s="6" t="s">
        <v>1524</v>
      </c>
      <c r="C609" s="7" t="s">
        <v>1525</v>
      </c>
      <c r="D609" s="8">
        <v>0</v>
      </c>
      <c r="G609" s="13"/>
      <c r="H609" s="5">
        <v>0</v>
      </c>
    </row>
    <row r="610" spans="1:8" ht="45" customHeight="1" x14ac:dyDescent="0.25">
      <c r="A610" s="5" t="s">
        <v>1526</v>
      </c>
      <c r="B610" s="6" t="s">
        <v>1527</v>
      </c>
      <c r="C610" s="7" t="s">
        <v>1528</v>
      </c>
      <c r="D610" s="8">
        <v>0</v>
      </c>
      <c r="G610" s="13"/>
      <c r="H610" s="5">
        <v>0</v>
      </c>
    </row>
    <row r="611" spans="1:8" ht="45" customHeight="1" x14ac:dyDescent="0.25">
      <c r="A611" s="5" t="s">
        <v>1529</v>
      </c>
      <c r="B611" s="6" t="s">
        <v>1530</v>
      </c>
      <c r="C611" s="7" t="s">
        <v>1531</v>
      </c>
      <c r="D611" s="8">
        <v>0</v>
      </c>
      <c r="G611" s="13"/>
      <c r="H611" s="5">
        <v>0</v>
      </c>
    </row>
    <row r="612" spans="1:8" ht="45" customHeight="1" x14ac:dyDescent="0.25">
      <c r="A612" s="5" t="s">
        <v>1532</v>
      </c>
      <c r="B612" s="6" t="s">
        <v>1533</v>
      </c>
      <c r="C612" s="7" t="s">
        <v>1534</v>
      </c>
      <c r="D612" s="8">
        <v>0</v>
      </c>
      <c r="H612" s="5">
        <v>0</v>
      </c>
    </row>
    <row r="613" spans="1:8" ht="45" customHeight="1" x14ac:dyDescent="0.25">
      <c r="A613" s="22" t="s">
        <v>1535</v>
      </c>
      <c r="B613" s="6" t="s">
        <v>1536</v>
      </c>
      <c r="C613" s="7" t="s">
        <v>1537</v>
      </c>
      <c r="D613" s="8">
        <v>0</v>
      </c>
      <c r="H613" s="22">
        <v>0</v>
      </c>
    </row>
    <row r="614" spans="1:8" ht="45" customHeight="1" x14ac:dyDescent="0.25">
      <c r="A614" s="24"/>
      <c r="B614" s="6" t="s">
        <v>1538</v>
      </c>
      <c r="C614" s="7" t="s">
        <v>1539</v>
      </c>
      <c r="D614" s="8">
        <v>0</v>
      </c>
      <c r="H614" s="24"/>
    </row>
    <row r="615" spans="1:8" ht="45" customHeight="1" x14ac:dyDescent="0.25">
      <c r="A615" s="22" t="s">
        <v>1540</v>
      </c>
      <c r="B615" s="6" t="s">
        <v>1541</v>
      </c>
      <c r="C615" s="7" t="s">
        <v>1542</v>
      </c>
      <c r="D615" s="8">
        <v>0</v>
      </c>
      <c r="H615" s="22">
        <v>0</v>
      </c>
    </row>
    <row r="616" spans="1:8" ht="45" customHeight="1" x14ac:dyDescent="0.25">
      <c r="A616" s="24"/>
      <c r="B616" s="6" t="s">
        <v>1543</v>
      </c>
      <c r="C616" s="7" t="s">
        <v>1544</v>
      </c>
      <c r="D616" s="8">
        <v>0</v>
      </c>
      <c r="G616" s="11" t="s">
        <v>1114</v>
      </c>
      <c r="H616" s="24"/>
    </row>
    <row r="617" spans="1:8" ht="45" customHeight="1" x14ac:dyDescent="0.25">
      <c r="A617" s="22" t="s">
        <v>1545</v>
      </c>
      <c r="B617" s="6" t="s">
        <v>1546</v>
      </c>
      <c r="C617" s="7" t="s">
        <v>1547</v>
      </c>
      <c r="D617" s="8">
        <v>0</v>
      </c>
      <c r="H617" s="22">
        <v>0</v>
      </c>
    </row>
    <row r="618" spans="1:8" ht="45" customHeight="1" x14ac:dyDescent="0.25">
      <c r="A618" s="24"/>
      <c r="B618" s="6" t="s">
        <v>1548</v>
      </c>
      <c r="C618" s="7" t="s">
        <v>1549</v>
      </c>
      <c r="D618" s="8">
        <v>0</v>
      </c>
      <c r="H618" s="24"/>
    </row>
    <row r="619" spans="1:8" ht="45" customHeight="1" x14ac:dyDescent="0.25">
      <c r="A619" s="5" t="s">
        <v>1550</v>
      </c>
      <c r="B619" s="6" t="s">
        <v>1551</v>
      </c>
      <c r="C619" s="7" t="s">
        <v>1552</v>
      </c>
      <c r="D619" s="8">
        <v>0</v>
      </c>
      <c r="E619" s="9">
        <v>12000</v>
      </c>
      <c r="F619" s="9">
        <v>0</v>
      </c>
      <c r="H619" s="5">
        <v>0</v>
      </c>
    </row>
    <row r="620" spans="1:8" ht="45" customHeight="1" x14ac:dyDescent="0.25">
      <c r="A620" s="5" t="s">
        <v>1553</v>
      </c>
      <c r="B620" s="6" t="s">
        <v>1554</v>
      </c>
      <c r="C620" s="7" t="s">
        <v>1555</v>
      </c>
      <c r="D620" s="8">
        <v>0</v>
      </c>
      <c r="G620" s="13"/>
      <c r="H620" s="5">
        <v>0</v>
      </c>
    </row>
    <row r="621" spans="1:8" ht="45" customHeight="1" x14ac:dyDescent="0.25">
      <c r="A621" s="5" t="s">
        <v>1556</v>
      </c>
      <c r="B621" s="6" t="s">
        <v>1557</v>
      </c>
      <c r="C621" s="7" t="s">
        <v>1558</v>
      </c>
      <c r="D621" s="8">
        <v>0</v>
      </c>
      <c r="G621" s="14" t="s">
        <v>1559</v>
      </c>
      <c r="H621" s="5">
        <v>0</v>
      </c>
    </row>
    <row r="622" spans="1:8" ht="45" customHeight="1" x14ac:dyDescent="0.25">
      <c r="A622" s="5" t="s">
        <v>1560</v>
      </c>
      <c r="B622" s="6" t="s">
        <v>1561</v>
      </c>
      <c r="C622" s="7" t="s">
        <v>1562</v>
      </c>
      <c r="D622" s="8">
        <v>0</v>
      </c>
      <c r="G622" s="14"/>
      <c r="H622" s="5">
        <v>0</v>
      </c>
    </row>
    <row r="623" spans="1:8" ht="45" customHeight="1" x14ac:dyDescent="0.25">
      <c r="A623" s="22" t="s">
        <v>1563</v>
      </c>
      <c r="B623" s="6" t="s">
        <v>1564</v>
      </c>
      <c r="C623" s="7" t="s">
        <v>1565</v>
      </c>
      <c r="D623" s="8">
        <f>40000</f>
        <v>40000</v>
      </c>
      <c r="G623" s="14"/>
      <c r="H623" s="22">
        <v>40000</v>
      </c>
    </row>
    <row r="624" spans="1:8" ht="45" customHeight="1" x14ac:dyDescent="0.25">
      <c r="A624" s="24"/>
      <c r="B624" s="6" t="s">
        <v>1566</v>
      </c>
      <c r="C624" s="7" t="s">
        <v>1567</v>
      </c>
      <c r="D624" s="8">
        <v>0</v>
      </c>
      <c r="F624" s="9">
        <v>30000</v>
      </c>
      <c r="H624" s="24"/>
    </row>
    <row r="625" spans="1:8" ht="45" customHeight="1" x14ac:dyDescent="0.25">
      <c r="A625" s="5" t="s">
        <v>1568</v>
      </c>
      <c r="B625" s="6" t="s">
        <v>1569</v>
      </c>
      <c r="C625" s="7" t="s">
        <v>1570</v>
      </c>
      <c r="D625" s="8">
        <v>0</v>
      </c>
      <c r="H625" s="5">
        <v>0</v>
      </c>
    </row>
    <row r="626" spans="1:8" ht="45" customHeight="1" x14ac:dyDescent="0.25">
      <c r="A626" s="5" t="s">
        <v>1571</v>
      </c>
      <c r="B626" s="6" t="s">
        <v>1572</v>
      </c>
      <c r="C626" s="7" t="s">
        <v>1573</v>
      </c>
      <c r="D626" s="8">
        <v>0</v>
      </c>
      <c r="F626" s="9">
        <v>6000</v>
      </c>
      <c r="G626" s="11"/>
      <c r="H626" s="5">
        <v>6000</v>
      </c>
    </row>
    <row r="627" spans="1:8" ht="45" customHeight="1" x14ac:dyDescent="0.25">
      <c r="A627" s="5" t="s">
        <v>1574</v>
      </c>
      <c r="B627" s="6" t="s">
        <v>1575</v>
      </c>
      <c r="C627" s="7" t="s">
        <v>1576</v>
      </c>
      <c r="D627" s="8">
        <f>16000-4000</f>
        <v>12000</v>
      </c>
      <c r="H627" s="5">
        <v>0</v>
      </c>
    </row>
    <row r="628" spans="1:8" ht="45" customHeight="1" x14ac:dyDescent="0.25">
      <c r="A628" s="5" t="s">
        <v>1577</v>
      </c>
      <c r="B628" s="6" t="s">
        <v>1578</v>
      </c>
      <c r="C628" s="7" t="s">
        <v>1579</v>
      </c>
      <c r="D628" s="8">
        <f>72000-8000-8000</f>
        <v>56000</v>
      </c>
      <c r="H628" s="5">
        <v>4000</v>
      </c>
    </row>
    <row r="629" spans="1:8" ht="45" customHeight="1" x14ac:dyDescent="0.25">
      <c r="A629" s="5" t="s">
        <v>1580</v>
      </c>
      <c r="B629" s="6" t="s">
        <v>1581</v>
      </c>
      <c r="C629" s="21" t="s">
        <v>1582</v>
      </c>
      <c r="D629" s="8">
        <f>9000-3000</f>
        <v>6000</v>
      </c>
      <c r="H629" s="5">
        <v>3000</v>
      </c>
    </row>
    <row r="630" spans="1:8" ht="45" customHeight="1" x14ac:dyDescent="0.25">
      <c r="A630" s="5" t="s">
        <v>1583</v>
      </c>
      <c r="B630" s="6" t="s">
        <v>1584</v>
      </c>
      <c r="C630" s="7" t="s">
        <v>1585</v>
      </c>
      <c r="D630" s="8">
        <f>2500</f>
        <v>2500</v>
      </c>
      <c r="H630" s="5">
        <v>3500</v>
      </c>
    </row>
    <row r="631" spans="1:8" ht="45" customHeight="1" x14ac:dyDescent="0.25">
      <c r="A631" s="5" t="s">
        <v>1586</v>
      </c>
      <c r="B631" s="6" t="s">
        <v>1587</v>
      </c>
      <c r="C631" s="21" t="s">
        <v>1588</v>
      </c>
      <c r="D631" s="8">
        <f>6000</f>
        <v>6000</v>
      </c>
      <c r="H631" s="5">
        <v>3000</v>
      </c>
    </row>
    <row r="632" spans="1:8" ht="45" customHeight="1" x14ac:dyDescent="0.25">
      <c r="A632" s="5" t="s">
        <v>1589</v>
      </c>
      <c r="B632" s="6" t="s">
        <v>1590</v>
      </c>
      <c r="C632" s="21" t="s">
        <v>1591</v>
      </c>
      <c r="D632" s="8">
        <v>0</v>
      </c>
      <c r="E632" s="9">
        <v>220000</v>
      </c>
      <c r="G632" s="13"/>
      <c r="H632" s="5">
        <v>136000</v>
      </c>
    </row>
    <row r="633" spans="1:8" ht="45" customHeight="1" x14ac:dyDescent="0.25">
      <c r="A633" s="5" t="s">
        <v>1592</v>
      </c>
      <c r="B633" s="6" t="s">
        <v>1593</v>
      </c>
      <c r="C633" s="21" t="s">
        <v>1594</v>
      </c>
      <c r="D633" s="8">
        <v>0</v>
      </c>
      <c r="G633" s="17"/>
      <c r="H633" s="5">
        <v>0</v>
      </c>
    </row>
    <row r="634" spans="1:8" ht="45" customHeight="1" x14ac:dyDescent="0.25">
      <c r="A634" s="5" t="s">
        <v>1595</v>
      </c>
      <c r="B634" s="6" t="s">
        <v>1596</v>
      </c>
      <c r="C634" s="21" t="s">
        <v>1597</v>
      </c>
      <c r="D634" s="8">
        <f>3000</f>
        <v>3000</v>
      </c>
      <c r="G634" s="17"/>
      <c r="H634" s="5">
        <v>1000</v>
      </c>
    </row>
    <row r="635" spans="1:8" ht="45" customHeight="1" x14ac:dyDescent="0.25">
      <c r="A635" s="5" t="s">
        <v>1598</v>
      </c>
      <c r="B635" s="6" t="s">
        <v>1599</v>
      </c>
      <c r="C635" s="21" t="s">
        <v>1600</v>
      </c>
      <c r="D635" s="8">
        <v>8000</v>
      </c>
      <c r="H635" s="5">
        <v>0</v>
      </c>
    </row>
    <row r="636" spans="1:8" ht="45" customHeight="1" x14ac:dyDescent="0.25">
      <c r="A636" s="5" t="s">
        <v>1601</v>
      </c>
      <c r="B636" s="6" t="s">
        <v>1602</v>
      </c>
      <c r="C636" s="7" t="s">
        <v>1603</v>
      </c>
      <c r="D636" s="8">
        <f>4000</f>
        <v>4000</v>
      </c>
      <c r="H636" s="5">
        <v>2000</v>
      </c>
    </row>
    <row r="637" spans="1:8" ht="45" customHeight="1" x14ac:dyDescent="0.25">
      <c r="A637" s="5" t="s">
        <v>1604</v>
      </c>
      <c r="B637" s="6" t="s">
        <v>1605</v>
      </c>
      <c r="C637" s="21" t="s">
        <v>1606</v>
      </c>
      <c r="D637" s="8">
        <v>50000</v>
      </c>
      <c r="H637" s="5">
        <v>40000</v>
      </c>
    </row>
    <row r="638" spans="1:8" ht="45" customHeight="1" x14ac:dyDescent="0.25">
      <c r="A638" s="5" t="s">
        <v>1607</v>
      </c>
      <c r="B638" s="6" t="s">
        <v>1608</v>
      </c>
      <c r="C638" s="21" t="s">
        <v>1609</v>
      </c>
      <c r="D638" s="8">
        <f>10000</f>
        <v>10000</v>
      </c>
      <c r="H638" s="5">
        <v>0</v>
      </c>
    </row>
    <row r="639" spans="1:8" ht="45" customHeight="1" x14ac:dyDescent="0.25">
      <c r="A639" s="5" t="s">
        <v>1610</v>
      </c>
      <c r="B639" s="6" t="s">
        <v>1611</v>
      </c>
      <c r="C639" s="21" t="s">
        <v>1612</v>
      </c>
      <c r="D639" s="8">
        <f>20000</f>
        <v>20000</v>
      </c>
      <c r="H639" s="5">
        <v>0</v>
      </c>
    </row>
    <row r="640" spans="1:8" ht="45" customHeight="1" x14ac:dyDescent="0.25">
      <c r="A640" s="5" t="s">
        <v>1613</v>
      </c>
      <c r="B640" s="6" t="s">
        <v>1614</v>
      </c>
      <c r="C640" s="21" t="s">
        <v>1615</v>
      </c>
      <c r="D640" s="8">
        <f>4000</f>
        <v>4000</v>
      </c>
      <c r="H640" s="5">
        <v>0</v>
      </c>
    </row>
    <row r="641" spans="1:8" ht="45" customHeight="1" x14ac:dyDescent="0.25">
      <c r="A641" s="5" t="s">
        <v>1616</v>
      </c>
      <c r="B641" s="6" t="s">
        <v>1617</v>
      </c>
      <c r="C641" s="21" t="s">
        <v>1618</v>
      </c>
      <c r="D641" s="8">
        <f>2400</f>
        <v>2400</v>
      </c>
      <c r="H641" s="5">
        <v>0</v>
      </c>
    </row>
    <row r="642" spans="1:8" ht="47.25" customHeight="1" x14ac:dyDescent="0.25">
      <c r="A642" s="5" t="s">
        <v>1619</v>
      </c>
      <c r="B642" s="6" t="s">
        <v>1620</v>
      </c>
      <c r="C642" s="21" t="s">
        <v>1621</v>
      </c>
      <c r="D642" s="8">
        <v>0</v>
      </c>
      <c r="G642" s="17"/>
      <c r="H642" s="5">
        <v>0</v>
      </c>
    </row>
    <row r="643" spans="1:8" ht="45" customHeight="1" x14ac:dyDescent="0.25">
      <c r="A643" s="5" t="s">
        <v>1622</v>
      </c>
      <c r="B643" s="6" t="s">
        <v>1623</v>
      </c>
      <c r="C643" s="7" t="s">
        <v>1624</v>
      </c>
      <c r="D643" s="8">
        <v>0</v>
      </c>
      <c r="H643" s="5">
        <v>0</v>
      </c>
    </row>
    <row r="644" spans="1:8" ht="45" customHeight="1" x14ac:dyDescent="0.25">
      <c r="A644" s="5" t="s">
        <v>1625</v>
      </c>
      <c r="B644" s="6" t="s">
        <v>1626</v>
      </c>
      <c r="C644" s="7" t="s">
        <v>1627</v>
      </c>
      <c r="D644" s="8">
        <v>0</v>
      </c>
      <c r="F644" s="9">
        <v>1000</v>
      </c>
      <c r="G644" s="13"/>
      <c r="H644" s="5">
        <v>0</v>
      </c>
    </row>
    <row r="645" spans="1:8" ht="45" customHeight="1" x14ac:dyDescent="0.25">
      <c r="A645" s="5" t="s">
        <v>1628</v>
      </c>
      <c r="B645" s="6" t="s">
        <v>1629</v>
      </c>
      <c r="C645" s="21" t="s">
        <v>1630</v>
      </c>
      <c r="D645" s="8">
        <f>3000</f>
        <v>3000</v>
      </c>
      <c r="H645" s="5">
        <v>0</v>
      </c>
    </row>
    <row r="646" spans="1:8" ht="45" customHeight="1" x14ac:dyDescent="0.25">
      <c r="A646" s="5" t="s">
        <v>1631</v>
      </c>
      <c r="B646" s="6" t="s">
        <v>1632</v>
      </c>
      <c r="C646" s="7" t="s">
        <v>1633</v>
      </c>
      <c r="D646" s="8">
        <v>12000</v>
      </c>
      <c r="H646" s="5">
        <v>6000</v>
      </c>
    </row>
    <row r="647" spans="1:8" ht="45" customHeight="1" x14ac:dyDescent="0.25">
      <c r="A647" s="5" t="s">
        <v>1634</v>
      </c>
      <c r="B647" s="6" t="s">
        <v>1635</v>
      </c>
      <c r="C647" s="7" t="s">
        <v>1636</v>
      </c>
      <c r="D647" s="8">
        <v>0</v>
      </c>
      <c r="H647" s="5">
        <v>10000</v>
      </c>
    </row>
    <row r="648" spans="1:8" ht="45" customHeight="1" x14ac:dyDescent="0.25">
      <c r="A648" s="22" t="s">
        <v>1637</v>
      </c>
      <c r="B648" s="6" t="s">
        <v>1638</v>
      </c>
      <c r="C648" s="7" t="s">
        <v>1639</v>
      </c>
      <c r="D648" s="8">
        <v>0</v>
      </c>
      <c r="F648" s="9">
        <v>15000</v>
      </c>
      <c r="G648" s="13"/>
      <c r="H648" s="22">
        <v>15000</v>
      </c>
    </row>
    <row r="649" spans="1:8" ht="45" customHeight="1" x14ac:dyDescent="0.25">
      <c r="A649" s="24"/>
      <c r="B649" s="6" t="s">
        <v>1640</v>
      </c>
      <c r="C649" s="7" t="s">
        <v>1641</v>
      </c>
      <c r="D649" s="8">
        <v>0</v>
      </c>
      <c r="G649" s="14" t="s">
        <v>1642</v>
      </c>
      <c r="H649" s="24"/>
    </row>
    <row r="650" spans="1:8" ht="45" customHeight="1" x14ac:dyDescent="0.25">
      <c r="A650" s="5" t="s">
        <v>1643</v>
      </c>
      <c r="B650" s="6" t="s">
        <v>1644</v>
      </c>
      <c r="C650" s="7" t="s">
        <v>1645</v>
      </c>
      <c r="D650" s="8">
        <v>0</v>
      </c>
      <c r="H650" s="5">
        <v>0</v>
      </c>
    </row>
    <row r="651" spans="1:8" ht="45" customHeight="1" x14ac:dyDescent="0.25">
      <c r="A651" s="5" t="s">
        <v>1646</v>
      </c>
      <c r="B651" s="6" t="s">
        <v>1647</v>
      </c>
      <c r="C651" s="7" t="s">
        <v>1648</v>
      </c>
      <c r="D651" s="8">
        <f>6000</f>
        <v>6000</v>
      </c>
      <c r="G651" s="13"/>
      <c r="H651" s="5">
        <v>0</v>
      </c>
    </row>
    <row r="652" spans="1:8" ht="45" customHeight="1" x14ac:dyDescent="0.25">
      <c r="A652" s="5" t="s">
        <v>1649</v>
      </c>
      <c r="B652" s="6" t="s">
        <v>1650</v>
      </c>
      <c r="C652" s="7" t="s">
        <v>1651</v>
      </c>
      <c r="D652" s="8">
        <v>39000</v>
      </c>
      <c r="H652" s="5">
        <v>0</v>
      </c>
    </row>
    <row r="653" spans="1:8" ht="45" customHeight="1" x14ac:dyDescent="0.25">
      <c r="A653" s="5" t="s">
        <v>1652</v>
      </c>
      <c r="B653" s="6" t="s">
        <v>1653</v>
      </c>
      <c r="C653" s="7" t="s">
        <v>1654</v>
      </c>
      <c r="D653" s="8">
        <v>3000</v>
      </c>
      <c r="H653" s="5">
        <v>0</v>
      </c>
    </row>
    <row r="654" spans="1:8" ht="45" customHeight="1" x14ac:dyDescent="0.25">
      <c r="A654" s="5" t="s">
        <v>1655</v>
      </c>
      <c r="B654" s="6" t="s">
        <v>1656</v>
      </c>
      <c r="C654" s="7" t="s">
        <v>1657</v>
      </c>
      <c r="D654" s="8">
        <v>0</v>
      </c>
      <c r="F654" s="9">
        <v>3000</v>
      </c>
      <c r="H654" s="5">
        <v>0</v>
      </c>
    </row>
    <row r="655" spans="1:8" ht="45" customHeight="1" x14ac:dyDescent="0.25">
      <c r="A655" s="5" t="s">
        <v>1658</v>
      </c>
      <c r="B655" s="6" t="s">
        <v>1659</v>
      </c>
      <c r="C655" s="7" t="s">
        <v>1660</v>
      </c>
      <c r="D655" s="8">
        <f>3000</f>
        <v>3000</v>
      </c>
      <c r="H655" s="5">
        <v>3000</v>
      </c>
    </row>
    <row r="656" spans="1:8" ht="45" customHeight="1" x14ac:dyDescent="0.25">
      <c r="A656" s="5" t="s">
        <v>1661</v>
      </c>
      <c r="B656" s="6" t="s">
        <v>1662</v>
      </c>
      <c r="C656" s="7" t="s">
        <v>1663</v>
      </c>
      <c r="D656" s="8">
        <v>0</v>
      </c>
      <c r="H656" s="5">
        <v>0</v>
      </c>
    </row>
    <row r="657" spans="1:8" ht="45" customHeight="1" x14ac:dyDescent="0.25">
      <c r="A657" s="5" t="s">
        <v>1664</v>
      </c>
      <c r="B657" s="6" t="s">
        <v>1665</v>
      </c>
      <c r="C657" s="7" t="s">
        <v>1666</v>
      </c>
      <c r="D657" s="8">
        <v>0</v>
      </c>
      <c r="G657" s="11"/>
      <c r="H657" s="5">
        <v>4000</v>
      </c>
    </row>
    <row r="658" spans="1:8" ht="45" customHeight="1" x14ac:dyDescent="0.25">
      <c r="A658" s="5" t="s">
        <v>1667</v>
      </c>
      <c r="B658" s="6" t="s">
        <v>1668</v>
      </c>
      <c r="C658" s="7" t="s">
        <v>1669</v>
      </c>
      <c r="D658" s="8">
        <v>0</v>
      </c>
      <c r="G658" s="11"/>
      <c r="H658" s="5">
        <v>1000</v>
      </c>
    </row>
    <row r="659" spans="1:8" ht="45" customHeight="1" x14ac:dyDescent="0.25">
      <c r="A659" s="5" t="s">
        <v>1670</v>
      </c>
      <c r="B659" s="6" t="s">
        <v>1671</v>
      </c>
      <c r="C659" s="7" t="s">
        <v>1672</v>
      </c>
      <c r="D659" s="8">
        <v>0</v>
      </c>
      <c r="H659" s="5">
        <v>0</v>
      </c>
    </row>
    <row r="660" spans="1:8" ht="45" customHeight="1" x14ac:dyDescent="0.25">
      <c r="A660" s="5" t="s">
        <v>1673</v>
      </c>
      <c r="B660" s="6" t="s">
        <v>1674</v>
      </c>
      <c r="C660" s="7" t="s">
        <v>1675</v>
      </c>
      <c r="D660" s="8">
        <v>0</v>
      </c>
      <c r="H660" s="5">
        <v>0</v>
      </c>
    </row>
    <row r="661" spans="1:8" ht="45" customHeight="1" x14ac:dyDescent="0.25">
      <c r="A661" s="5" t="s">
        <v>1676</v>
      </c>
      <c r="B661" s="6" t="s">
        <v>1677</v>
      </c>
      <c r="C661" s="7" t="s">
        <v>1678</v>
      </c>
      <c r="D661" s="8">
        <v>0</v>
      </c>
      <c r="H661" s="5">
        <v>0</v>
      </c>
    </row>
    <row r="662" spans="1:8" ht="45" customHeight="1" x14ac:dyDescent="0.25">
      <c r="A662" s="22" t="s">
        <v>1679</v>
      </c>
      <c r="B662" s="6" t="s">
        <v>1680</v>
      </c>
      <c r="C662" s="7" t="s">
        <v>1681</v>
      </c>
      <c r="D662" s="8">
        <v>0</v>
      </c>
      <c r="H662" s="22">
        <v>1000</v>
      </c>
    </row>
    <row r="663" spans="1:8" ht="45" customHeight="1" x14ac:dyDescent="0.25">
      <c r="A663" s="24"/>
      <c r="B663" s="6" t="s">
        <v>1682</v>
      </c>
      <c r="C663" s="7" t="s">
        <v>1683</v>
      </c>
      <c r="D663" s="8">
        <v>0</v>
      </c>
      <c r="H663" s="24"/>
    </row>
    <row r="664" spans="1:8" ht="45" customHeight="1" x14ac:dyDescent="0.25">
      <c r="A664" s="5" t="s">
        <v>1684</v>
      </c>
      <c r="B664" s="6" t="s">
        <v>1685</v>
      </c>
      <c r="C664" s="7" t="s">
        <v>1686</v>
      </c>
      <c r="D664" s="8">
        <v>0</v>
      </c>
      <c r="H664" s="5">
        <v>0</v>
      </c>
    </row>
    <row r="665" spans="1:8" ht="45" customHeight="1" x14ac:dyDescent="0.25">
      <c r="A665" s="5" t="s">
        <v>1687</v>
      </c>
      <c r="B665" s="6" t="s">
        <v>1688</v>
      </c>
      <c r="C665" s="7" t="s">
        <v>1689</v>
      </c>
      <c r="D665" s="8">
        <v>0</v>
      </c>
      <c r="H665" s="5">
        <v>0</v>
      </c>
    </row>
    <row r="666" spans="1:8" ht="45" customHeight="1" x14ac:dyDescent="0.25">
      <c r="A666" s="5" t="s">
        <v>1690</v>
      </c>
      <c r="B666" s="6" t="s">
        <v>1691</v>
      </c>
      <c r="C666" s="7" t="s">
        <v>1692</v>
      </c>
      <c r="D666" s="8">
        <v>0</v>
      </c>
      <c r="H666" s="5">
        <v>1000</v>
      </c>
    </row>
    <row r="667" spans="1:8" ht="45" customHeight="1" x14ac:dyDescent="0.25">
      <c r="A667" s="5" t="s">
        <v>1476</v>
      </c>
      <c r="B667" s="6" t="s">
        <v>1479</v>
      </c>
      <c r="C667" s="7" t="s">
        <v>1480</v>
      </c>
      <c r="D667" s="8">
        <v>0</v>
      </c>
      <c r="H667" s="5">
        <v>0</v>
      </c>
    </row>
  </sheetData>
  <autoFilter ref="A1:H667" xr:uid="{00000000-0009-0000-0000-000000000000}"/>
  <mergeCells count="404">
    <mergeCell ref="H648:H649"/>
    <mergeCell ref="A214:A217"/>
    <mergeCell ref="A424:A425"/>
    <mergeCell ref="H178:H179"/>
    <mergeCell ref="H243:H244"/>
    <mergeCell ref="H478:H479"/>
    <mergeCell ref="A142:A143"/>
    <mergeCell ref="A329:A330"/>
    <mergeCell ref="A80:A82"/>
    <mergeCell ref="H392:H393"/>
    <mergeCell ref="H259:H262"/>
    <mergeCell ref="A8:A9"/>
    <mergeCell ref="A371:A372"/>
    <mergeCell ref="A342:A343"/>
    <mergeCell ref="H96:H97"/>
    <mergeCell ref="A613:A614"/>
    <mergeCell ref="A121:A122"/>
    <mergeCell ref="H342:H343"/>
    <mergeCell ref="A550:A551"/>
    <mergeCell ref="A146:A148"/>
    <mergeCell ref="H602:H603"/>
    <mergeCell ref="A344:A345"/>
    <mergeCell ref="H403:H405"/>
    <mergeCell ref="H263:H266"/>
    <mergeCell ref="A337:A338"/>
    <mergeCell ref="H306:H307"/>
    <mergeCell ref="H362:H363"/>
    <mergeCell ref="H162:H163"/>
    <mergeCell ref="H460:H461"/>
    <mergeCell ref="H462:H463"/>
    <mergeCell ref="A173:A176"/>
    <mergeCell ref="A33:A37"/>
    <mergeCell ref="A326:A327"/>
    <mergeCell ref="A237:A240"/>
    <mergeCell ref="H226:H227"/>
    <mergeCell ref="H5:H7"/>
    <mergeCell ref="H303:H305"/>
    <mergeCell ref="H557:H558"/>
    <mergeCell ref="A219:A220"/>
    <mergeCell ref="H290:H292"/>
    <mergeCell ref="H434:H435"/>
    <mergeCell ref="H273:H274"/>
    <mergeCell ref="H98:H100"/>
    <mergeCell ref="A267:A269"/>
    <mergeCell ref="A320:A321"/>
    <mergeCell ref="A458:A459"/>
    <mergeCell ref="A440:A442"/>
    <mergeCell ref="H194:H196"/>
    <mergeCell ref="H250:H252"/>
    <mergeCell ref="A229:A232"/>
    <mergeCell ref="A166:A167"/>
    <mergeCell ref="A135:A137"/>
    <mergeCell ref="H454:H455"/>
    <mergeCell ref="H83:H84"/>
    <mergeCell ref="H16:H18"/>
    <mergeCell ref="A168:A169"/>
    <mergeCell ref="H164:H165"/>
    <mergeCell ref="H85:H86"/>
    <mergeCell ref="H414:H416"/>
    <mergeCell ref="A623:A624"/>
    <mergeCell ref="A541:A542"/>
    <mergeCell ref="A241:A242"/>
    <mergeCell ref="A648:A649"/>
    <mergeCell ref="A178:A179"/>
    <mergeCell ref="H59:H60"/>
    <mergeCell ref="A243:A244"/>
    <mergeCell ref="H562:H563"/>
    <mergeCell ref="A13:A15"/>
    <mergeCell ref="A478:A479"/>
    <mergeCell ref="H33:H37"/>
    <mergeCell ref="H595:H597"/>
    <mergeCell ref="H575:H576"/>
    <mergeCell ref="A280:A282"/>
    <mergeCell ref="H507:H508"/>
    <mergeCell ref="A351:A354"/>
    <mergeCell ref="A615:A616"/>
    <mergeCell ref="A270:A272"/>
    <mergeCell ref="H24:H26"/>
    <mergeCell ref="A434:A435"/>
    <mergeCell ref="H485:H487"/>
    <mergeCell ref="H526:H527"/>
    <mergeCell ref="A334:A336"/>
    <mergeCell ref="H131:H134"/>
    <mergeCell ref="H2:H4"/>
    <mergeCell ref="H489:H490"/>
    <mergeCell ref="H287:H289"/>
    <mergeCell ref="H125:H128"/>
    <mergeCell ref="H662:H663"/>
    <mergeCell ref="H320:H321"/>
    <mergeCell ref="A526:A527"/>
    <mergeCell ref="H364:H365"/>
    <mergeCell ref="A528:A529"/>
    <mergeCell ref="H297:H300"/>
    <mergeCell ref="A559:A561"/>
    <mergeCell ref="A480:A482"/>
    <mergeCell ref="H153:H154"/>
    <mergeCell ref="H346:H347"/>
    <mergeCell ref="H140:H141"/>
    <mergeCell ref="H582:H583"/>
    <mergeCell ref="A579:A580"/>
    <mergeCell ref="H438:H439"/>
    <mergeCell ref="H375:H376"/>
    <mergeCell ref="A190:A193"/>
    <mergeCell ref="H617:H618"/>
    <mergeCell ref="A419:A421"/>
    <mergeCell ref="A452:A453"/>
    <mergeCell ref="H377:H378"/>
    <mergeCell ref="A602:A603"/>
    <mergeCell ref="A263:A266"/>
    <mergeCell ref="A460:A461"/>
    <mergeCell ref="A348:A349"/>
    <mergeCell ref="A475:A476"/>
    <mergeCell ref="A226:A227"/>
    <mergeCell ref="A462:A463"/>
    <mergeCell ref="H223:H225"/>
    <mergeCell ref="H52:H54"/>
    <mergeCell ref="H206:H207"/>
    <mergeCell ref="H118:H120"/>
    <mergeCell ref="H528:H529"/>
    <mergeCell ref="A494:A495"/>
    <mergeCell ref="H559:H561"/>
    <mergeCell ref="A61:A63"/>
    <mergeCell ref="A428:A430"/>
    <mergeCell ref="H480:H482"/>
    <mergeCell ref="H579:H580"/>
    <mergeCell ref="A83:A84"/>
    <mergeCell ref="A123:A124"/>
    <mergeCell ref="A408:A409"/>
    <mergeCell ref="A358:A359"/>
    <mergeCell ref="H475:H476"/>
    <mergeCell ref="A360:A361"/>
    <mergeCell ref="A5:A7"/>
    <mergeCell ref="H155:H157"/>
    <mergeCell ref="A290:A292"/>
    <mergeCell ref="H276:H279"/>
    <mergeCell ref="H424:H425"/>
    <mergeCell ref="A403:A405"/>
    <mergeCell ref="H42:H44"/>
    <mergeCell ref="A390:A391"/>
    <mergeCell ref="A273:A274"/>
    <mergeCell ref="A129:A130"/>
    <mergeCell ref="A98:A100"/>
    <mergeCell ref="H417:H418"/>
    <mergeCell ref="H248:H249"/>
    <mergeCell ref="A398:A400"/>
    <mergeCell ref="A16:A18"/>
    <mergeCell ref="A414:A416"/>
    <mergeCell ref="A303:A305"/>
    <mergeCell ref="A78:A79"/>
    <mergeCell ref="A253:A255"/>
    <mergeCell ref="A47:A49"/>
    <mergeCell ref="H112:H115"/>
    <mergeCell ref="A221:A222"/>
    <mergeCell ref="H366:H368"/>
    <mergeCell ref="A50:A51"/>
    <mergeCell ref="A662:A663"/>
    <mergeCell ref="A362:A363"/>
    <mergeCell ref="H116:H117"/>
    <mergeCell ref="A331:A333"/>
    <mergeCell ref="H401:H402"/>
    <mergeCell ref="H187:H189"/>
    <mergeCell ref="A364:A365"/>
    <mergeCell ref="A557:A558"/>
    <mergeCell ref="H245:H247"/>
    <mergeCell ref="H410:H412"/>
    <mergeCell ref="A346:A347"/>
    <mergeCell ref="A582:A583"/>
    <mergeCell ref="A375:A376"/>
    <mergeCell ref="H334:H336"/>
    <mergeCell ref="A285:A286"/>
    <mergeCell ref="A250:A252"/>
    <mergeCell ref="A206:A207"/>
    <mergeCell ref="A377:A378"/>
    <mergeCell ref="A577:A578"/>
    <mergeCell ref="H494:H495"/>
    <mergeCell ref="H428:H430"/>
    <mergeCell ref="H202:H204"/>
    <mergeCell ref="H322:H323"/>
    <mergeCell ref="A308:A311"/>
    <mergeCell ref="A575:A576"/>
    <mergeCell ref="H530:H531"/>
    <mergeCell ref="A394:A395"/>
    <mergeCell ref="H219:H220"/>
    <mergeCell ref="H64:H67"/>
    <mergeCell ref="H492:H493"/>
    <mergeCell ref="H184:H186"/>
    <mergeCell ref="H456:H457"/>
    <mergeCell ref="H390:H391"/>
    <mergeCell ref="A160:A161"/>
    <mergeCell ref="A489:A490"/>
    <mergeCell ref="A287:A289"/>
    <mergeCell ref="A125:A128"/>
    <mergeCell ref="A112:A115"/>
    <mergeCell ref="A108:A110"/>
    <mergeCell ref="A568:A569"/>
    <mergeCell ref="H108:H110"/>
    <mergeCell ref="H406:H407"/>
    <mergeCell ref="H235:H236"/>
    <mergeCell ref="H73:H75"/>
    <mergeCell ref="H331:H333"/>
    <mergeCell ref="H324:H325"/>
    <mergeCell ref="H348:H349"/>
    <mergeCell ref="A530:A531"/>
    <mergeCell ref="H10:H12"/>
    <mergeCell ref="H301:H302"/>
    <mergeCell ref="H102:H104"/>
    <mergeCell ref="H537:H538"/>
    <mergeCell ref="H337:H338"/>
    <mergeCell ref="H285:H286"/>
    <mergeCell ref="A366:A368"/>
    <mergeCell ref="H229:H232"/>
    <mergeCell ref="A138:A139"/>
    <mergeCell ref="H168:H169"/>
    <mergeCell ref="A340:A341"/>
    <mergeCell ref="H466:H467"/>
    <mergeCell ref="A438:A439"/>
    <mergeCell ref="A59:A60"/>
    <mergeCell ref="A153:A154"/>
    <mergeCell ref="A64:A67"/>
    <mergeCell ref="A184:A186"/>
    <mergeCell ref="H520:H522"/>
    <mergeCell ref="A454:A455"/>
    <mergeCell ref="A518:A519"/>
    <mergeCell ref="A505:A506"/>
    <mergeCell ref="A507:A508"/>
    <mergeCell ref="A293:A295"/>
    <mergeCell ref="H47:H49"/>
    <mergeCell ref="H20:H23"/>
    <mergeCell ref="A276:A279"/>
    <mergeCell ref="H382:H383"/>
    <mergeCell ref="A197:A200"/>
    <mergeCell ref="H13:H15"/>
    <mergeCell ref="A548:A549"/>
    <mergeCell ref="A248:A249"/>
    <mergeCell ref="H371:H372"/>
    <mergeCell ref="A406:A407"/>
    <mergeCell ref="A483:A484"/>
    <mergeCell ref="H535:H536"/>
    <mergeCell ref="H146:H148"/>
    <mergeCell ref="H283:H284"/>
    <mergeCell ref="A256:A258"/>
    <mergeCell ref="H548:H549"/>
    <mergeCell ref="H541:H542"/>
    <mergeCell ref="A93:A95"/>
    <mergeCell ref="H138:H139"/>
    <mergeCell ref="A444:A445"/>
    <mergeCell ref="A144:A145"/>
    <mergeCell ref="H340:H341"/>
    <mergeCell ref="A55:A58"/>
    <mergeCell ref="A31:A32"/>
    <mergeCell ref="H241:H242"/>
    <mergeCell ref="H45:H46"/>
    <mergeCell ref="A24:A26"/>
    <mergeCell ref="A85:A86"/>
    <mergeCell ref="H452:H453"/>
    <mergeCell ref="H523:H524"/>
    <mergeCell ref="H379:H380"/>
    <mergeCell ref="H158:H159"/>
    <mergeCell ref="A116:A117"/>
    <mergeCell ref="A149:A151"/>
    <mergeCell ref="A410:A412"/>
    <mergeCell ref="A42:A44"/>
    <mergeCell ref="H312:H314"/>
    <mergeCell ref="H221:H222"/>
    <mergeCell ref="H355:H357"/>
    <mergeCell ref="A417:A418"/>
    <mergeCell ref="H105:H107"/>
    <mergeCell ref="H38:H41"/>
    <mergeCell ref="H496:H497"/>
    <mergeCell ref="H511:H512"/>
    <mergeCell ref="H498:H499"/>
    <mergeCell ref="A202:A204"/>
    <mergeCell ref="A322:A323"/>
    <mergeCell ref="A27:A30"/>
    <mergeCell ref="A235:A236"/>
    <mergeCell ref="A88:A91"/>
    <mergeCell ref="H50:H51"/>
    <mergeCell ref="A194:A196"/>
    <mergeCell ref="A283:A284"/>
    <mergeCell ref="H584:H585"/>
    <mergeCell ref="A181:A183"/>
    <mergeCell ref="H444:H445"/>
    <mergeCell ref="A162:A163"/>
    <mergeCell ref="A456:A457"/>
    <mergeCell ref="A52:A54"/>
    <mergeCell ref="H144:H145"/>
    <mergeCell ref="A245:A247"/>
    <mergeCell ref="H515:H517"/>
    <mergeCell ref="H55:H58"/>
    <mergeCell ref="A164:A165"/>
    <mergeCell ref="A73:A75"/>
    <mergeCell ref="A564:A566"/>
    <mergeCell ref="A324:A325"/>
    <mergeCell ref="H256:H258"/>
    <mergeCell ref="A187:A189"/>
    <mergeCell ref="H190:H193"/>
    <mergeCell ref="A485:A487"/>
    <mergeCell ref="A131:A134"/>
    <mergeCell ref="H166:H167"/>
    <mergeCell ref="A617:A618"/>
    <mergeCell ref="H78:H79"/>
    <mergeCell ref="A511:A512"/>
    <mergeCell ref="H142:H143"/>
    <mergeCell ref="H149:H151"/>
    <mergeCell ref="H80:H82"/>
    <mergeCell ref="A535:A536"/>
    <mergeCell ref="A10:A12"/>
    <mergeCell ref="A301:A302"/>
    <mergeCell ref="A537:A538"/>
    <mergeCell ref="A464:A465"/>
    <mergeCell ref="A401:A402"/>
    <mergeCell ref="A595:A597"/>
    <mergeCell ref="H398:H400"/>
    <mergeCell ref="H518:H519"/>
    <mergeCell ref="A96:A97"/>
    <mergeCell ref="H468:H469"/>
    <mergeCell ref="H93:H95"/>
    <mergeCell ref="H27:H30"/>
    <mergeCell ref="A118:A120"/>
    <mergeCell ref="H210:H211"/>
    <mergeCell ref="H552:H556"/>
    <mergeCell ref="H293:H295"/>
    <mergeCell ref="H432:H433"/>
    <mergeCell ref="A105:A107"/>
    <mergeCell ref="A38:A41"/>
    <mergeCell ref="A496:A497"/>
    <mergeCell ref="H61:H63"/>
    <mergeCell ref="A592:A594"/>
    <mergeCell ref="A2:A4"/>
    <mergeCell ref="A498:A499"/>
    <mergeCell ref="H550:H551"/>
    <mergeCell ref="A69:A72"/>
    <mergeCell ref="H31:H32"/>
    <mergeCell ref="H329:H330"/>
    <mergeCell ref="H129:H130"/>
    <mergeCell ref="H123:H124"/>
    <mergeCell ref="A102:A104"/>
    <mergeCell ref="H316:H317"/>
    <mergeCell ref="A562:A563"/>
    <mergeCell ref="H88:H91"/>
    <mergeCell ref="A306:A307"/>
    <mergeCell ref="H358:H359"/>
    <mergeCell ref="H181:H183"/>
    <mergeCell ref="H360:H361"/>
    <mergeCell ref="H214:H217"/>
    <mergeCell ref="A20:A23"/>
    <mergeCell ref="H568:H569"/>
    <mergeCell ref="H8:H9"/>
    <mergeCell ref="A223:A225"/>
    <mergeCell ref="H613:H614"/>
    <mergeCell ref="A584:A585"/>
    <mergeCell ref="H121:H122"/>
    <mergeCell ref="H344:H345"/>
    <mergeCell ref="A515:A517"/>
    <mergeCell ref="A45:A46"/>
    <mergeCell ref="A523:A524"/>
    <mergeCell ref="A379:A380"/>
    <mergeCell ref="A312:A314"/>
    <mergeCell ref="A158:A159"/>
    <mergeCell ref="A316:A317"/>
    <mergeCell ref="A587:A588"/>
    <mergeCell ref="A210:A211"/>
    <mergeCell ref="H577:H578"/>
    <mergeCell ref="H440:H442"/>
    <mergeCell ref="H173:H176"/>
    <mergeCell ref="H408:H409"/>
    <mergeCell ref="H326:H327"/>
    <mergeCell ref="H237:H240"/>
    <mergeCell ref="A140:A141"/>
    <mergeCell ref="H270:H272"/>
    <mergeCell ref="A392:A393"/>
    <mergeCell ref="A155:A157"/>
    <mergeCell ref="A468:A469"/>
    <mergeCell ref="A297:A300"/>
    <mergeCell ref="A552:A556"/>
    <mergeCell ref="A355:A357"/>
    <mergeCell ref="H280:H282"/>
    <mergeCell ref="A520:A522"/>
    <mergeCell ref="A432:A433"/>
    <mergeCell ref="H351:H354"/>
    <mergeCell ref="A259:A262"/>
    <mergeCell ref="A171:A172"/>
    <mergeCell ref="H308:H311"/>
    <mergeCell ref="A466:A467"/>
    <mergeCell ref="A382:A383"/>
    <mergeCell ref="H505:H506"/>
    <mergeCell ref="A492:A493"/>
    <mergeCell ref="H253:H255"/>
    <mergeCell ref="H464:H465"/>
    <mergeCell ref="H160:H161"/>
    <mergeCell ref="H483:H484"/>
    <mergeCell ref="H197:H200"/>
    <mergeCell ref="H171:H172"/>
    <mergeCell ref="H267:H269"/>
    <mergeCell ref="H394:H395"/>
    <mergeCell ref="H419:H421"/>
    <mergeCell ref="H458:H459"/>
    <mergeCell ref="H623:H624"/>
    <mergeCell ref="H135:H137"/>
    <mergeCell ref="H69:H72"/>
    <mergeCell ref="H615:H616"/>
    <mergeCell ref="H592:H594"/>
    <mergeCell ref="H587:H588"/>
    <mergeCell ref="H564:H56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辰尚庫存表20260610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韋頡 李</cp:lastModifiedBy>
  <dcterms:created xsi:type="dcterms:W3CDTF">2026-06-10T07:54:38Z</dcterms:created>
  <dcterms:modified xsi:type="dcterms:W3CDTF">2026-06-10T08:22:23Z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2026-06-10T08:22:23Z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813db44b-4fc7-4365-b154-d2696095fc94</vt:lpwstr>
  </property>
  <property fmtid="{D5CDD505-2E9C-101B-9397-08002B2CF9AE}" pid="7" name="MSIP_Label_defa4170-0d19-0005-0004-bc88714345d2_ActionId">
    <vt:lpwstr>45462284-4663-4e36-9b6c-413209bd7d48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