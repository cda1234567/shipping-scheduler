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St-nas\個人資料夾\Andy\Job\123\789\"/>
    </mc:Choice>
  </mc:AlternateContent>
  <xr:revisionPtr revIDLastSave="0" documentId="13_ncr:1_{FDBE0DD6-A3E0-4DF3-87D0-2DC80B0B319D}" xr6:coauthVersionLast="47" xr6:coauthVersionMax="47" xr10:uidLastSave="{00000000-0000-0000-0000-000000000000}"/>
  <bookViews>
    <workbookView xWindow="-27945" yWindow="765" windowWidth="21600" windowHeight="11295" xr2:uid="{87AC3B57-457B-4DA3-BF46-9167CA025087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1" i="1" l="1"/>
  <c r="G81" i="1"/>
  <c r="F81" i="1"/>
  <c r="E81" i="1"/>
  <c r="H77" i="1"/>
  <c r="G77" i="1"/>
  <c r="F77" i="1"/>
  <c r="E77" i="1"/>
  <c r="H73" i="1"/>
  <c r="G73" i="1"/>
  <c r="F73" i="1"/>
  <c r="E73" i="1"/>
  <c r="H69" i="1"/>
  <c r="G69" i="1"/>
  <c r="F69" i="1"/>
  <c r="E69" i="1"/>
  <c r="H65" i="1"/>
  <c r="G65" i="1"/>
  <c r="F65" i="1"/>
  <c r="E65" i="1"/>
  <c r="H61" i="1"/>
  <c r="G61" i="1"/>
  <c r="F61" i="1"/>
  <c r="E61" i="1"/>
  <c r="H57" i="1"/>
  <c r="G57" i="1"/>
  <c r="F57" i="1"/>
  <c r="E57" i="1"/>
  <c r="H53" i="1"/>
  <c r="G53" i="1"/>
  <c r="F53" i="1"/>
  <c r="E53" i="1"/>
  <c r="H49" i="1"/>
  <c r="G49" i="1"/>
  <c r="F49" i="1"/>
  <c r="E49" i="1"/>
  <c r="H45" i="1"/>
  <c r="G45" i="1"/>
  <c r="F45" i="1"/>
  <c r="E45" i="1"/>
  <c r="H41" i="1"/>
  <c r="G41" i="1"/>
  <c r="F41" i="1"/>
  <c r="E41" i="1"/>
  <c r="H37" i="1"/>
  <c r="G37" i="1"/>
  <c r="F37" i="1"/>
  <c r="E37" i="1"/>
  <c r="H33" i="1"/>
  <c r="G33" i="1"/>
  <c r="F33" i="1"/>
  <c r="E33" i="1"/>
  <c r="H29" i="1"/>
  <c r="G29" i="1"/>
  <c r="F29" i="1"/>
  <c r="E29" i="1"/>
  <c r="H25" i="1"/>
  <c r="G25" i="1"/>
  <c r="F25" i="1"/>
  <c r="E25" i="1"/>
  <c r="H21" i="1"/>
  <c r="G21" i="1"/>
  <c r="F21" i="1"/>
  <c r="E21" i="1"/>
  <c r="H17" i="1"/>
  <c r="G17" i="1"/>
  <c r="F17" i="1"/>
  <c r="E17" i="1"/>
  <c r="H13" i="1"/>
  <c r="G13" i="1"/>
  <c r="F13" i="1"/>
  <c r="E13" i="1"/>
  <c r="H9" i="1"/>
  <c r="G9" i="1"/>
  <c r="F9" i="1"/>
  <c r="E9" i="1"/>
  <c r="F5" i="1"/>
  <c r="G5" i="1"/>
  <c r="H5" i="1"/>
  <c r="E5" i="1"/>
</calcChain>
</file>

<file path=xl/sharedStrings.xml><?xml version="1.0" encoding="utf-8"?>
<sst xmlns="http://schemas.openxmlformats.org/spreadsheetml/2006/main" count="218" uniqueCount="101">
  <si>
    <t>N.W.</t>
    <phoneticPr fontId="2" type="noConversion"/>
  </si>
  <si>
    <t>G.W.</t>
  </si>
  <si>
    <t>TDA7-5</t>
  </si>
  <si>
    <t>TX1</t>
  </si>
  <si>
    <t>TX1-S1</t>
  </si>
  <si>
    <t>T35U</t>
  </si>
  <si>
    <t>|</t>
  </si>
  <si>
    <t>|---|---|---|---|---|---|</t>
  </si>
  <si>
    <t>1.85'</t>
  </si>
  <si>
    <t>TDA7-1</t>
  </si>
  <si>
    <t>TDA7-2</t>
  </si>
  <si>
    <t>TDA7-3</t>
  </si>
  <si>
    <t>TDA7-7</t>
  </si>
  <si>
    <t>TDA7-9</t>
  </si>
  <si>
    <t>2.1'</t>
  </si>
  <si>
    <t>45x4</t>
  </si>
  <si>
    <t>TDAS-ZIF</t>
  </si>
  <si>
    <t>T8U/T7U/T6U</t>
  </si>
  <si>
    <t>TDA3-3</t>
  </si>
  <si>
    <t>T04</t>
  </si>
  <si>
    <t>T356789IU ADAPTER PCB-A1121</t>
    <phoneticPr fontId="1" type="noConversion"/>
  </si>
  <si>
    <t>T356789IU-U/A ADAPTER PCB-A1122</t>
    <phoneticPr fontId="1" type="noConversion"/>
  </si>
  <si>
    <t>T356789IU+LCD ADAPTER PCB-A1123</t>
    <phoneticPr fontId="1" type="noConversion"/>
  </si>
  <si>
    <t>T3IU ADAPTER PCB-A1080</t>
    <phoneticPr fontId="1" type="noConversion"/>
  </si>
  <si>
    <t>T8U ADAPTER PCB-A1095</t>
    <phoneticPr fontId="1" type="noConversion"/>
  </si>
  <si>
    <t>TDA3-3 ADAPTER PCB-A1109</t>
    <phoneticPr fontId="1" type="noConversion"/>
  </si>
  <si>
    <t>T7U ADAPTER PCB-A1098</t>
    <phoneticPr fontId="1" type="noConversion"/>
  </si>
  <si>
    <r>
      <rPr>
        <sz val="12"/>
        <color theme="1"/>
        <rFont val="新細明體"/>
        <family val="2"/>
        <charset val="136"/>
      </rPr>
      <t>品名</t>
    </r>
  </si>
  <si>
    <r>
      <rPr>
        <sz val="12"/>
        <color theme="1"/>
        <rFont val="新細明體"/>
        <family val="2"/>
        <charset val="136"/>
      </rPr>
      <t>尺寸</t>
    </r>
  </si>
  <si>
    <r>
      <rPr>
        <sz val="12"/>
        <color theme="1"/>
        <rFont val="新細明體"/>
        <family val="2"/>
        <charset val="136"/>
      </rPr>
      <t>數量</t>
    </r>
  </si>
  <si>
    <r>
      <rPr>
        <sz val="12"/>
        <color theme="1"/>
        <rFont val="新細明體"/>
        <family val="2"/>
        <charset val="136"/>
      </rPr>
      <t>箱數</t>
    </r>
  </si>
  <si>
    <r>
      <rPr>
        <sz val="12"/>
        <color theme="1"/>
        <rFont val="新細明體"/>
        <family val="2"/>
        <charset val="136"/>
      </rPr>
      <t>淨重</t>
    </r>
  </si>
  <si>
    <r>
      <rPr>
        <sz val="12"/>
        <color theme="1"/>
        <rFont val="新細明體"/>
        <family val="2"/>
        <charset val="136"/>
      </rPr>
      <t>毛重</t>
    </r>
  </si>
  <si>
    <t>T35U ADAPTER PCB-A1068</t>
    <phoneticPr fontId="1" type="noConversion"/>
  </si>
  <si>
    <t>T35U-RW ADAPTER PCB-A1071</t>
    <phoneticPr fontId="1" type="noConversion"/>
  </si>
  <si>
    <t>TD4 ADAPTER PCB-A1126</t>
    <phoneticPr fontId="1" type="noConversion"/>
  </si>
  <si>
    <t>PB-20131A T6U-REV2.2-BARE-PCB</t>
    <phoneticPr fontId="1" type="noConversion"/>
  </si>
  <si>
    <t>T6U ADAPTER PCB-A1124</t>
    <phoneticPr fontId="1" type="noConversion"/>
  </si>
  <si>
    <t>TDA5-ZIF ADAPTER PCB-A1025</t>
    <phoneticPr fontId="1" type="noConversion"/>
  </si>
  <si>
    <t>PB-20138A TA7-1-REV1.0_BARE_PCB</t>
    <phoneticPr fontId="1" type="noConversion"/>
  </si>
  <si>
    <t>PB-20135A TA7-2-REV1.0_BARE_PCB</t>
    <phoneticPr fontId="1" type="noConversion"/>
  </si>
  <si>
    <t>PB-20139A TA7-3-REV1.0_BARE_PCB</t>
    <phoneticPr fontId="1" type="noConversion"/>
  </si>
  <si>
    <t>PB-20140A TA7-5-REV1.0_BARE_PCB</t>
    <phoneticPr fontId="1" type="noConversion"/>
  </si>
  <si>
    <t>PB-20141A TA7-7-REV1.0_BARE_PCB</t>
    <phoneticPr fontId="1" type="noConversion"/>
  </si>
  <si>
    <t>PB-20142A TA7-9-REV1.0_BARE_PCB</t>
    <phoneticPr fontId="1" type="noConversion"/>
  </si>
  <si>
    <t>PB-20082A T3IU-A-REV1.2_BARE-PCB</t>
    <phoneticPr fontId="1" type="noConversion"/>
  </si>
  <si>
    <t>PB-20083A T3IU-B-REV1.0_BARE_PCB</t>
    <phoneticPr fontId="1" type="noConversion"/>
  </si>
  <si>
    <t>PB-20111A TX1-S1-A-REV1.1_BARE_PCB</t>
    <phoneticPr fontId="1" type="noConversion"/>
  </si>
  <si>
    <t>PB-20112A TX1-S1-B-REV1.0_BARE_PCB</t>
    <phoneticPr fontId="1" type="noConversion"/>
  </si>
  <si>
    <t>PB-20117A T356789B-REV1.1_BARE_PCB</t>
    <phoneticPr fontId="1" type="noConversion"/>
  </si>
  <si>
    <t>TP8-NC Power Supply OC-10967B</t>
    <phoneticPr fontId="2" type="noConversion"/>
  </si>
  <si>
    <t>1.53'</t>
    <phoneticPr fontId="2" type="noConversion"/>
  </si>
  <si>
    <t>TP7-NC Power Supply OC-10937B</t>
    <phoneticPr fontId="2" type="noConversion"/>
  </si>
  <si>
    <t>振盛</t>
    <phoneticPr fontId="1" type="noConversion"/>
  </si>
  <si>
    <t>深福+庚霖</t>
    <phoneticPr fontId="1" type="noConversion"/>
  </si>
  <si>
    <t>儀軍</t>
    <phoneticPr fontId="1" type="noConversion"/>
  </si>
  <si>
    <t>威海</t>
    <phoneticPr fontId="1" type="noConversion"/>
  </si>
  <si>
    <t>倪倪</t>
    <phoneticPr fontId="1" type="noConversion"/>
  </si>
  <si>
    <t>PB-20143A TX2-REV01_BARE_PCB</t>
    <phoneticPr fontId="1" type="noConversion"/>
  </si>
  <si>
    <t>TP6-NC Power Supply OC-10838B</t>
    <phoneticPr fontId="2" type="noConversion"/>
  </si>
  <si>
    <t>1.85'</t>
    <phoneticPr fontId="1" type="noConversion"/>
  </si>
  <si>
    <t>1.59'</t>
    <phoneticPr fontId="1" type="noConversion"/>
  </si>
  <si>
    <t>TX2 ADAPTER PCB-A1133</t>
    <phoneticPr fontId="2" type="noConversion"/>
  </si>
  <si>
    <t xml:space="preserve">TC2-8-R2 Cable AC-40803B </t>
    <phoneticPr fontId="1" type="noConversion"/>
  </si>
  <si>
    <t xml:space="preserve">TC3-8 Cable AC-40566B </t>
    <phoneticPr fontId="1" type="noConversion"/>
  </si>
  <si>
    <t>TC4-8-R3 Cable AC-40839B</t>
    <phoneticPr fontId="1" type="noConversion"/>
  </si>
  <si>
    <t>TC5-8-R2 Cable AC-40804B</t>
    <phoneticPr fontId="1" type="noConversion"/>
  </si>
  <si>
    <t xml:space="preserve">TC6-8 Cable AC-30123B </t>
    <phoneticPr fontId="1" type="noConversion"/>
  </si>
  <si>
    <t>TC7-9-9 Cable AC-40618B</t>
    <phoneticPr fontId="1" type="noConversion"/>
  </si>
  <si>
    <t xml:space="preserve">TC-USB3 Cable AC-40816B </t>
    <phoneticPr fontId="1" type="noConversion"/>
  </si>
  <si>
    <t xml:space="preserve">TP6-LC-US Cable AC-40834B </t>
    <phoneticPr fontId="2" type="noConversion"/>
  </si>
  <si>
    <t xml:space="preserve">TB1 Bag PK-F0001B </t>
    <phoneticPr fontId="2" type="noConversion"/>
  </si>
  <si>
    <t xml:space="preserve">TB4 Bag OC-10714B </t>
    <phoneticPr fontId="2" type="noConversion"/>
  </si>
  <si>
    <t xml:space="preserve">TC6-2 Cable AC-30137B </t>
    <phoneticPr fontId="2" type="noConversion"/>
  </si>
  <si>
    <t>TB6 Bag OC-10960B</t>
    <phoneticPr fontId="1" type="noConversion"/>
  </si>
  <si>
    <t>PB-20098A T35U-REV2.0_BARE_PCB</t>
    <phoneticPr fontId="1" type="noConversion"/>
  </si>
  <si>
    <t>PB-20110A T7U-REV1.0_BARE_PCB</t>
    <phoneticPr fontId="1" type="noConversion"/>
  </si>
  <si>
    <t>PB-20103A T8U-REV1.4-BARE-PCB</t>
    <phoneticPr fontId="1" type="noConversion"/>
  </si>
  <si>
    <t>TA7-1 ADAPTER PCB-A1127</t>
    <phoneticPr fontId="2" type="noConversion"/>
  </si>
  <si>
    <t>TA7-2 ADAPTER PCB-A1128</t>
    <phoneticPr fontId="2" type="noConversion"/>
  </si>
  <si>
    <t>TA7-3 ADAPTER PCB-A1129</t>
    <phoneticPr fontId="2" type="noConversion"/>
  </si>
  <si>
    <t>TA7-5 ADAPTER PCB-A1130</t>
    <phoneticPr fontId="2" type="noConversion"/>
  </si>
  <si>
    <t>TA7-7 ADAPTER PCB-A1131</t>
    <phoneticPr fontId="2" type="noConversion"/>
  </si>
  <si>
    <t>TA7-9 ADAPTER PCB-A1132</t>
    <phoneticPr fontId="2" type="noConversion"/>
  </si>
  <si>
    <t>TX2-S1 ADAPTER PCB-A1134</t>
    <phoneticPr fontId="2" type="noConversion"/>
  </si>
  <si>
    <t>TA-PCIE-PCIE4 ADAPTER AC-40852B</t>
    <phoneticPr fontId="2" type="noConversion"/>
  </si>
  <si>
    <t>TA7-4 ADAPTER AC-40853B</t>
  </si>
  <si>
    <t>PB-20113A TX1/TD4-POWER-REV1.0_BARE_PCB</t>
    <phoneticPr fontId="2" type="noConversion"/>
  </si>
  <si>
    <t>PB-20130A T356789A-REV3.4_BARE_PCB</t>
    <phoneticPr fontId="1" type="noConversion"/>
  </si>
  <si>
    <t>箱號</t>
  </si>
  <si>
    <t>箱數</t>
    <phoneticPr fontId="2" type="noConversion"/>
  </si>
  <si>
    <t>每箱數量</t>
  </si>
  <si>
    <t>材積</t>
  </si>
  <si>
    <t>TC4-8-R4 Cable AC-40845B</t>
    <phoneticPr fontId="1" type="noConversion"/>
  </si>
  <si>
    <t>TCA-USB3-AC Cable AC-40844B</t>
    <phoneticPr fontId="1" type="noConversion"/>
  </si>
  <si>
    <t>4.2'</t>
    <phoneticPr fontId="1" type="noConversion"/>
  </si>
  <si>
    <t>TB2 Bag OC-10351B</t>
    <phoneticPr fontId="2" type="noConversion"/>
  </si>
  <si>
    <t>T356789IU_MEMBRANE-MHS OC-10841B</t>
    <phoneticPr fontId="2" type="noConversion"/>
  </si>
  <si>
    <t>T356789IU_MEMBRANE-FC OC-10842B</t>
    <phoneticPr fontId="2" type="noConversion"/>
  </si>
  <si>
    <t>T356789IU_MEMBRANE-DI OC-10840B</t>
    <phoneticPr fontId="2" type="noConversion"/>
  </si>
  <si>
    <t>TC7-6-6 Cable AC-40573B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</si>
</sst>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\'"/>
    <numFmt numFmtId="178" formatCode="0.00_);[Red]\(0.00\)"/>
  </numFmts>
  <fonts count="1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b/>
      <sz val="12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Times Roman"/>
    </font>
    <font>
      <sz val="11"/>
      <color rgb="FFC4C7C5"/>
      <name val="Times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b/>
      <sz val="11"/>
      <name val="新細明體"/>
      <family val="1"/>
      <charset val="136"/>
      <scheme val="major"/>
    </font>
    <font>
      <b/>
      <sz val="10"/>
      <name val="Microsoft JhengHei Light"/>
      <family val="2"/>
      <charset val="136"/>
    </font>
    <font>
      <b/>
      <sz val="10"/>
      <color theme="1"/>
      <name val="Microsoft JhengHei Light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9" fillId="0" borderId="0" xfId="0" applyFont="1">
      <alignment vertical="center"/>
    </xf>
    <xf numFmtId="0" fontId="10" fillId="2" borderId="1" xfId="0" applyFont="1" applyFill="1" applyBorder="1" applyAlignment="1">
      <alignment horizontal="center"/>
    </xf>
    <xf numFmtId="0" fontId="11" fillId="4" borderId="5" xfId="0" applyFont="1" applyFill="1" applyBorder="1" applyAlignment="1"/>
    <xf numFmtId="0" fontId="12" fillId="4" borderId="1" xfId="0" applyFont="1" applyFill="1" applyBorder="1" applyAlignment="1">
      <alignment horizontal="center" vertical="center"/>
    </xf>
    <xf numFmtId="178" fontId="12" fillId="4" borderId="1" xfId="0" applyNumberFormat="1" applyFont="1" applyFill="1" applyBorder="1" applyAlignment="1">
      <alignment horizontal="center" vertical="center"/>
    </xf>
    <xf numFmtId="177" fontId="12" fillId="4" borderId="1" xfId="0" applyNumberFormat="1" applyFont="1" applyFill="1" applyBorder="1" applyAlignment="1">
      <alignment horizontal="center" vertical="center"/>
    </xf>
    <xf numFmtId="0" fontId="11" fillId="0" borderId="5" xfId="0" applyFont="1" applyBorder="1" applyAlignme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3" fillId="0" borderId="1" xfId="0" applyFont="1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EDC36-0EDA-41A8-B72D-6D64FE875042}">
  <sheetPr codeName="工作表1"/>
  <dimension ref="A2:GL139"/>
  <sheetViews>
    <sheetView tabSelected="1" topLeftCell="A125" zoomScale="85" zoomScaleNormal="85" workbookViewId="0">
      <selection activeCell="L134" sqref="L134"/>
    </sheetView>
  </sheetViews>
  <sheetFormatPr defaultRowHeight="15.75"/>
  <cols>
    <col min="1" max="1" width="37.375" style="3" customWidth="1"/>
    <col min="2" max="2" width="9.75" style="3" customWidth="1"/>
    <col min="3" max="4" width="9" style="3"/>
    <col min="5" max="5" width="9" style="4"/>
    <col min="6" max="8" width="9" style="3"/>
    <col min="9" max="16384" width="9" style="1"/>
  </cols>
  <sheetData>
    <row r="2" spans="1:8">
      <c r="C2" s="14" t="s">
        <v>89</v>
      </c>
      <c r="D2" s="14" t="s">
        <v>90</v>
      </c>
      <c r="E2" s="14" t="s">
        <v>91</v>
      </c>
      <c r="F2" s="14" t="s">
        <v>0</v>
      </c>
      <c r="G2" s="14" t="s">
        <v>1</v>
      </c>
      <c r="H2" s="14" t="s">
        <v>92</v>
      </c>
    </row>
    <row r="3" spans="1:8">
      <c r="A3" s="21"/>
      <c r="B3" s="21"/>
      <c r="C3" s="7"/>
      <c r="D3" s="7"/>
      <c r="E3" s="8"/>
      <c r="F3" s="7"/>
      <c r="G3" s="7"/>
      <c r="H3" s="7"/>
    </row>
    <row r="4" spans="1:8">
      <c r="A4" s="21" t="s">
        <v>20</v>
      </c>
      <c r="B4" s="21"/>
      <c r="C4" s="5"/>
      <c r="D4" s="5"/>
      <c r="E4" s="5">
        <v>24</v>
      </c>
      <c r="F4" s="5">
        <v>8.3000000000000007</v>
      </c>
      <c r="G4" s="5">
        <v>11</v>
      </c>
      <c r="H4" s="6">
        <v>2.6</v>
      </c>
    </row>
    <row r="5" spans="1:8">
      <c r="A5" s="20"/>
      <c r="B5" s="20"/>
      <c r="C5" s="5"/>
      <c r="D5" s="5"/>
      <c r="E5" s="5">
        <f>E4*$D4</f>
        <v>0</v>
      </c>
      <c r="F5" s="5">
        <f t="shared" ref="F5:H5" si="0">F4*$D4</f>
        <v>0</v>
      </c>
      <c r="G5" s="5">
        <f t="shared" si="0"/>
        <v>0</v>
      </c>
      <c r="H5" s="5">
        <f t="shared" si="0"/>
        <v>0</v>
      </c>
    </row>
    <row r="6" spans="1:8">
      <c r="A6" s="20"/>
      <c r="B6" s="20"/>
      <c r="C6" s="5"/>
      <c r="D6" s="5"/>
      <c r="E6" s="5"/>
      <c r="F6" s="5"/>
      <c r="G6" s="5"/>
      <c r="H6" s="5"/>
    </row>
    <row r="7" spans="1:8">
      <c r="A7" s="21"/>
      <c r="B7" s="21"/>
      <c r="C7" s="7"/>
      <c r="D7" s="7"/>
      <c r="E7" s="8"/>
      <c r="F7" s="7"/>
      <c r="G7" s="7"/>
      <c r="H7" s="7"/>
    </row>
    <row r="8" spans="1:8">
      <c r="A8" s="21" t="s">
        <v>21</v>
      </c>
      <c r="B8" s="21"/>
      <c r="C8" s="5"/>
      <c r="D8" s="5"/>
      <c r="E8" s="5">
        <v>24</v>
      </c>
      <c r="F8" s="5">
        <v>8.3000000000000007</v>
      </c>
      <c r="G8" s="5">
        <v>11</v>
      </c>
      <c r="H8" s="6">
        <v>2.6</v>
      </c>
    </row>
    <row r="9" spans="1:8">
      <c r="A9" s="20"/>
      <c r="B9" s="20"/>
      <c r="C9" s="5"/>
      <c r="D9" s="5"/>
      <c r="E9" s="5">
        <f>E8*$D8</f>
        <v>0</v>
      </c>
      <c r="F9" s="5">
        <f t="shared" ref="F9" si="1">F8*$D8</f>
        <v>0</v>
      </c>
      <c r="G9" s="5">
        <f t="shared" ref="G9" si="2">G8*$D8</f>
        <v>0</v>
      </c>
      <c r="H9" s="5">
        <f t="shared" ref="H9" si="3">H8*$D8</f>
        <v>0</v>
      </c>
    </row>
    <row r="10" spans="1:8">
      <c r="A10" s="20"/>
      <c r="B10" s="20"/>
      <c r="C10" s="5"/>
      <c r="D10" s="5"/>
      <c r="E10" s="5"/>
      <c r="F10" s="5"/>
      <c r="G10" s="5"/>
      <c r="H10" s="5"/>
    </row>
    <row r="11" spans="1:8">
      <c r="A11" s="21"/>
      <c r="B11" s="21"/>
      <c r="C11" s="7"/>
      <c r="D11" s="7"/>
      <c r="E11" s="8"/>
      <c r="F11" s="7"/>
      <c r="G11" s="7"/>
      <c r="H11" s="7"/>
    </row>
    <row r="12" spans="1:8">
      <c r="A12" s="21" t="s">
        <v>22</v>
      </c>
      <c r="B12" s="21"/>
      <c r="C12" s="5"/>
      <c r="D12" s="5"/>
      <c r="E12" s="5">
        <v>12</v>
      </c>
      <c r="F12" s="5">
        <v>6.5</v>
      </c>
      <c r="G12" s="5">
        <v>9.1999999999999993</v>
      </c>
      <c r="H12" s="6">
        <v>2.6</v>
      </c>
    </row>
    <row r="13" spans="1:8">
      <c r="A13" s="20"/>
      <c r="B13" s="20"/>
      <c r="C13" s="5"/>
      <c r="D13" s="5"/>
      <c r="E13" s="5">
        <f>E12*$D12</f>
        <v>0</v>
      </c>
      <c r="F13" s="5">
        <f t="shared" ref="F13" si="4">F12*$D12</f>
        <v>0</v>
      </c>
      <c r="G13" s="5">
        <f t="shared" ref="G13" si="5">G12*$D12</f>
        <v>0</v>
      </c>
      <c r="H13" s="5">
        <f t="shared" ref="H13" si="6">H12*$D12</f>
        <v>0</v>
      </c>
    </row>
    <row r="14" spans="1:8">
      <c r="A14" s="20"/>
      <c r="B14" s="20"/>
      <c r="C14" s="5"/>
      <c r="D14" s="5"/>
      <c r="E14" s="5"/>
      <c r="F14" s="5"/>
      <c r="G14" s="5"/>
      <c r="H14" s="5"/>
    </row>
    <row r="15" spans="1:8">
      <c r="A15" s="21"/>
      <c r="B15" s="21"/>
      <c r="C15" s="7"/>
      <c r="D15" s="7"/>
      <c r="E15" s="8"/>
      <c r="F15" s="7"/>
      <c r="G15" s="7"/>
      <c r="H15" s="7"/>
    </row>
    <row r="16" spans="1:8">
      <c r="A16" s="21" t="s">
        <v>23</v>
      </c>
      <c r="B16" s="21"/>
      <c r="C16" s="5"/>
      <c r="D16" s="5"/>
      <c r="E16" s="5">
        <v>16</v>
      </c>
      <c r="F16" s="5">
        <v>11.2</v>
      </c>
      <c r="G16" s="5">
        <v>14</v>
      </c>
      <c r="H16" s="6">
        <v>2.6</v>
      </c>
    </row>
    <row r="17" spans="1:8">
      <c r="A17" s="20"/>
      <c r="B17" s="20"/>
      <c r="C17" s="5"/>
      <c r="D17" s="5"/>
      <c r="E17" s="5">
        <f>E16*$D16</f>
        <v>0</v>
      </c>
      <c r="F17" s="5">
        <f t="shared" ref="F17" si="7">F16*$D16</f>
        <v>0</v>
      </c>
      <c r="G17" s="5">
        <f t="shared" ref="G17" si="8">G16*$D16</f>
        <v>0</v>
      </c>
      <c r="H17" s="5">
        <f t="shared" ref="H17" si="9">H16*$D16</f>
        <v>0</v>
      </c>
    </row>
    <row r="18" spans="1:8">
      <c r="A18" s="20"/>
      <c r="B18" s="20"/>
      <c r="C18" s="5"/>
      <c r="D18" s="5"/>
      <c r="E18" s="5"/>
      <c r="F18" s="5"/>
      <c r="G18" s="5"/>
      <c r="H18" s="5"/>
    </row>
    <row r="19" spans="1:8">
      <c r="A19" s="21"/>
      <c r="B19" s="21"/>
      <c r="C19" s="7"/>
      <c r="D19" s="7"/>
      <c r="E19" s="8"/>
      <c r="F19" s="7"/>
      <c r="G19" s="7"/>
      <c r="H19" s="7"/>
    </row>
    <row r="20" spans="1:8">
      <c r="A20" s="21" t="s">
        <v>84</v>
      </c>
      <c r="B20" s="21"/>
      <c r="C20" s="5"/>
      <c r="D20" s="5"/>
      <c r="E20" s="5">
        <v>10</v>
      </c>
      <c r="F20" s="5">
        <v>5.4</v>
      </c>
      <c r="G20" s="5">
        <v>6.4</v>
      </c>
      <c r="H20" s="6">
        <v>1.85</v>
      </c>
    </row>
    <row r="21" spans="1:8">
      <c r="A21" s="20"/>
      <c r="B21" s="20"/>
      <c r="C21" s="5"/>
      <c r="D21" s="5"/>
      <c r="E21" s="5">
        <f>E20*$D20</f>
        <v>0</v>
      </c>
      <c r="F21" s="5">
        <f t="shared" ref="F21" si="10">F20*$D20</f>
        <v>0</v>
      </c>
      <c r="G21" s="5">
        <f t="shared" ref="G21" si="11">G20*$D20</f>
        <v>0</v>
      </c>
      <c r="H21" s="5">
        <f t="shared" ref="H21" si="12">H20*$D20</f>
        <v>0</v>
      </c>
    </row>
    <row r="22" spans="1:8">
      <c r="A22" s="20"/>
      <c r="B22" s="20"/>
      <c r="C22" s="5"/>
      <c r="D22" s="5"/>
      <c r="E22" s="5"/>
      <c r="F22" s="5"/>
      <c r="G22" s="5"/>
      <c r="H22" s="5"/>
    </row>
    <row r="23" spans="1:8">
      <c r="A23" s="21"/>
      <c r="B23" s="21"/>
      <c r="C23" s="7"/>
      <c r="D23" s="7"/>
      <c r="E23" s="8"/>
      <c r="F23" s="7"/>
      <c r="G23" s="7"/>
      <c r="H23" s="7"/>
    </row>
    <row r="24" spans="1:8">
      <c r="A24" s="21" t="s">
        <v>62</v>
      </c>
      <c r="B24" s="21"/>
      <c r="C24" s="5"/>
      <c r="D24" s="5"/>
      <c r="E24" s="5">
        <v>10</v>
      </c>
      <c r="F24" s="5">
        <v>10.9</v>
      </c>
      <c r="G24" s="5">
        <v>11.9</v>
      </c>
      <c r="H24" s="6">
        <v>2.1</v>
      </c>
    </row>
    <row r="25" spans="1:8">
      <c r="A25" s="20"/>
      <c r="B25" s="20"/>
      <c r="C25" s="5"/>
      <c r="D25" s="5"/>
      <c r="E25" s="5">
        <f>E24*$D24</f>
        <v>0</v>
      </c>
      <c r="F25" s="5">
        <f t="shared" ref="F25" si="13">F24*$D24</f>
        <v>0</v>
      </c>
      <c r="G25" s="5">
        <f t="shared" ref="G25" si="14">G24*$D24</f>
        <v>0</v>
      </c>
      <c r="H25" s="5">
        <f t="shared" ref="H25" si="15">H24*$D24</f>
        <v>0</v>
      </c>
    </row>
    <row r="26" spans="1:8">
      <c r="A26" s="20"/>
      <c r="B26" s="20"/>
      <c r="C26" s="5"/>
      <c r="D26" s="5"/>
      <c r="E26" s="5"/>
      <c r="F26" s="5"/>
      <c r="G26" s="5"/>
      <c r="H26" s="5"/>
    </row>
    <row r="27" spans="1:8">
      <c r="A27" s="21"/>
      <c r="B27" s="21"/>
      <c r="C27" s="7"/>
      <c r="D27" s="7"/>
      <c r="E27" s="8"/>
      <c r="F27" s="7"/>
      <c r="G27" s="7"/>
      <c r="H27" s="7"/>
    </row>
    <row r="28" spans="1:8">
      <c r="A28" s="21" t="s">
        <v>24</v>
      </c>
      <c r="B28" s="21"/>
      <c r="C28" s="5"/>
      <c r="D28" s="5"/>
      <c r="E28" s="5">
        <v>40</v>
      </c>
      <c r="F28" s="5">
        <v>9.1</v>
      </c>
      <c r="G28" s="5">
        <v>10.1</v>
      </c>
      <c r="H28" s="6">
        <v>1.85</v>
      </c>
    </row>
    <row r="29" spans="1:8">
      <c r="A29" s="20"/>
      <c r="B29" s="20"/>
      <c r="C29" s="5"/>
      <c r="D29" s="5"/>
      <c r="E29" s="5">
        <f>E28*$D28</f>
        <v>0</v>
      </c>
      <c r="F29" s="5">
        <f t="shared" ref="F29" si="16">F28*$D28</f>
        <v>0</v>
      </c>
      <c r="G29" s="5">
        <f t="shared" ref="G29" si="17">G28*$D28</f>
        <v>0</v>
      </c>
      <c r="H29" s="5">
        <f t="shared" ref="H29" si="18">H28*$D28</f>
        <v>0</v>
      </c>
    </row>
    <row r="30" spans="1:8">
      <c r="A30" s="20"/>
      <c r="B30" s="20"/>
      <c r="C30" s="5"/>
      <c r="D30" s="5"/>
      <c r="E30" s="5"/>
      <c r="F30" s="5"/>
      <c r="G30" s="5"/>
      <c r="H30" s="5"/>
    </row>
    <row r="31" spans="1:8">
      <c r="A31" s="21"/>
      <c r="B31" s="21"/>
      <c r="C31" s="7"/>
      <c r="D31" s="7"/>
      <c r="E31" s="8"/>
      <c r="F31" s="7"/>
      <c r="G31" s="7"/>
      <c r="H31" s="7"/>
    </row>
    <row r="32" spans="1:8">
      <c r="A32" s="21" t="s">
        <v>26</v>
      </c>
      <c r="B32" s="21"/>
      <c r="C32" s="5"/>
      <c r="D32" s="5"/>
      <c r="E32" s="5">
        <v>40</v>
      </c>
      <c r="F32" s="5">
        <v>9.1</v>
      </c>
      <c r="G32" s="5">
        <v>10.1</v>
      </c>
      <c r="H32" s="6">
        <v>1.85</v>
      </c>
    </row>
    <row r="33" spans="1:194">
      <c r="A33" s="20"/>
      <c r="B33" s="20"/>
      <c r="C33" s="5"/>
      <c r="D33" s="5"/>
      <c r="E33" s="5">
        <f>E32*$D32</f>
        <v>0</v>
      </c>
      <c r="F33" s="5">
        <f t="shared" ref="F33" si="19">F32*$D32</f>
        <v>0</v>
      </c>
      <c r="G33" s="5">
        <f t="shared" ref="G33" si="20">G32*$D32</f>
        <v>0</v>
      </c>
      <c r="H33" s="5">
        <f t="shared" ref="H33" si="21">H32*$D32</f>
        <v>0</v>
      </c>
    </row>
    <row r="34" spans="1:194">
      <c r="A34" s="20"/>
      <c r="B34" s="20"/>
      <c r="C34" s="5"/>
      <c r="D34" s="5"/>
      <c r="E34" s="5"/>
      <c r="F34" s="5"/>
      <c r="G34" s="5"/>
      <c r="H34" s="5"/>
    </row>
    <row r="35" spans="1:194">
      <c r="A35" s="21"/>
      <c r="B35" s="21"/>
      <c r="C35" s="7"/>
      <c r="D35" s="7"/>
      <c r="E35" s="8"/>
      <c r="F35" s="7"/>
      <c r="G35" s="7"/>
      <c r="H35" s="7"/>
    </row>
    <row r="36" spans="1:194">
      <c r="A36" s="21" t="s">
        <v>37</v>
      </c>
      <c r="B36" s="21"/>
      <c r="C36" s="5"/>
      <c r="D36" s="5"/>
      <c r="E36" s="5">
        <v>40</v>
      </c>
      <c r="F36" s="5">
        <v>9.1</v>
      </c>
      <c r="G36" s="5">
        <v>10.1</v>
      </c>
      <c r="H36" s="6">
        <v>1.85</v>
      </c>
    </row>
    <row r="37" spans="1:194">
      <c r="A37" s="20"/>
      <c r="B37" s="20"/>
      <c r="C37" s="5"/>
      <c r="D37" s="5"/>
      <c r="E37" s="5">
        <f>E36*$D36</f>
        <v>0</v>
      </c>
      <c r="F37" s="5">
        <f t="shared" ref="F37" si="22">F36*$D36</f>
        <v>0</v>
      </c>
      <c r="G37" s="5">
        <f t="shared" ref="G37" si="23">G36*$D36</f>
        <v>0</v>
      </c>
      <c r="H37" s="5">
        <f t="shared" ref="H37" si="24">H36*$D36</f>
        <v>0</v>
      </c>
    </row>
    <row r="38" spans="1:194">
      <c r="A38" s="20"/>
      <c r="B38" s="20"/>
      <c r="C38" s="5"/>
      <c r="D38" s="5"/>
      <c r="E38" s="5"/>
      <c r="F38" s="5"/>
      <c r="G38" s="5"/>
      <c r="H38" s="5"/>
    </row>
    <row r="39" spans="1:194" ht="16.5">
      <c r="A39" s="21"/>
      <c r="B39" s="21"/>
      <c r="C39" s="7"/>
      <c r="D39" s="7"/>
      <c r="E39" s="8"/>
      <c r="F39" s="7"/>
      <c r="G39" s="7"/>
      <c r="H39" s="7"/>
      <c r="L39" s="2" t="s">
        <v>6</v>
      </c>
      <c r="M39" s="1" t="s">
        <v>27</v>
      </c>
      <c r="N39" s="1" t="s">
        <v>6</v>
      </c>
      <c r="O39" s="1" t="s">
        <v>28</v>
      </c>
      <c r="P39" s="1" t="s">
        <v>6</v>
      </c>
      <c r="Q39" s="1" t="s">
        <v>29</v>
      </c>
      <c r="R39" s="1" t="s">
        <v>6</v>
      </c>
      <c r="S39" s="1" t="s">
        <v>30</v>
      </c>
      <c r="T39" s="1" t="s">
        <v>6</v>
      </c>
      <c r="U39" s="1" t="s">
        <v>31</v>
      </c>
      <c r="V39" s="1" t="s">
        <v>6</v>
      </c>
      <c r="W39" s="1" t="s">
        <v>32</v>
      </c>
      <c r="X39" s="1" t="s">
        <v>6</v>
      </c>
      <c r="Y39" s="1" t="s">
        <v>7</v>
      </c>
      <c r="Z39" s="1" t="s">
        <v>6</v>
      </c>
      <c r="AA39" s="1" t="s">
        <v>2</v>
      </c>
      <c r="AB39" s="1" t="s">
        <v>6</v>
      </c>
      <c r="AC39" s="1" t="s">
        <v>8</v>
      </c>
      <c r="AD39" s="1" t="s">
        <v>6</v>
      </c>
      <c r="AE39" s="1">
        <v>533</v>
      </c>
      <c r="AF39" s="1" t="s">
        <v>6</v>
      </c>
      <c r="AG39" s="1">
        <v>1</v>
      </c>
      <c r="AH39" s="1" t="s">
        <v>6</v>
      </c>
      <c r="AI39" s="1">
        <v>17.5</v>
      </c>
      <c r="AJ39" s="1" t="s">
        <v>6</v>
      </c>
      <c r="AK39" s="1">
        <v>18.54</v>
      </c>
      <c r="AL39" s="1" t="s">
        <v>6</v>
      </c>
      <c r="AM39" s="1" t="s">
        <v>6</v>
      </c>
      <c r="AN39" s="1" t="s">
        <v>9</v>
      </c>
      <c r="AO39" s="1" t="s">
        <v>6</v>
      </c>
      <c r="AP39" s="1" t="s">
        <v>8</v>
      </c>
      <c r="AQ39" s="1" t="s">
        <v>6</v>
      </c>
      <c r="AR39" s="1">
        <v>1</v>
      </c>
      <c r="AS39" s="1" t="s">
        <v>6</v>
      </c>
      <c r="AT39" s="1">
        <v>1</v>
      </c>
      <c r="AU39" s="1" t="s">
        <v>6</v>
      </c>
      <c r="AV39" s="1">
        <v>7.2</v>
      </c>
      <c r="AW39" s="1" t="s">
        <v>6</v>
      </c>
      <c r="AX39" s="1">
        <v>8.1999999999999993</v>
      </c>
      <c r="AY39" s="1" t="s">
        <v>6</v>
      </c>
      <c r="AZ39" s="1" t="s">
        <v>6</v>
      </c>
      <c r="BA39" s="1" t="s">
        <v>10</v>
      </c>
      <c r="BB39" s="1" t="s">
        <v>6</v>
      </c>
      <c r="BC39" s="1" t="s">
        <v>8</v>
      </c>
      <c r="BD39" s="1" t="s">
        <v>6</v>
      </c>
      <c r="BE39" s="1">
        <v>1</v>
      </c>
      <c r="BF39" s="1" t="s">
        <v>6</v>
      </c>
      <c r="BG39" s="1">
        <v>1</v>
      </c>
      <c r="BH39" s="1" t="s">
        <v>6</v>
      </c>
      <c r="BI39" s="1">
        <v>8.3000000000000007</v>
      </c>
      <c r="BJ39" s="1" t="s">
        <v>6</v>
      </c>
      <c r="BK39" s="1">
        <v>9.3000000000000007</v>
      </c>
      <c r="BL39" s="1" t="s">
        <v>6</v>
      </c>
      <c r="BM39" s="1" t="s">
        <v>6</v>
      </c>
      <c r="BN39" s="1" t="s">
        <v>11</v>
      </c>
      <c r="BO39" s="1" t="s">
        <v>6</v>
      </c>
      <c r="BP39" s="1" t="s">
        <v>8</v>
      </c>
      <c r="BQ39" s="1" t="s">
        <v>6</v>
      </c>
      <c r="BR39" s="1">
        <v>40</v>
      </c>
      <c r="BS39" s="1" t="s">
        <v>6</v>
      </c>
      <c r="BT39" s="1">
        <v>1</v>
      </c>
      <c r="BU39" s="1" t="s">
        <v>6</v>
      </c>
      <c r="BV39" s="1">
        <v>4</v>
      </c>
      <c r="BW39" s="1" t="s">
        <v>6</v>
      </c>
      <c r="BX39" s="1">
        <v>5</v>
      </c>
      <c r="BY39" s="1" t="s">
        <v>6</v>
      </c>
      <c r="BZ39" s="1" t="s">
        <v>6</v>
      </c>
      <c r="CA39" s="1" t="s">
        <v>12</v>
      </c>
      <c r="CB39" s="1" t="s">
        <v>6</v>
      </c>
      <c r="CC39" s="1" t="s">
        <v>8</v>
      </c>
      <c r="CD39" s="1" t="s">
        <v>6</v>
      </c>
      <c r="CE39" s="1">
        <v>1</v>
      </c>
      <c r="CF39" s="1" t="s">
        <v>6</v>
      </c>
      <c r="CG39" s="1">
        <v>1</v>
      </c>
      <c r="CH39" s="1" t="s">
        <v>6</v>
      </c>
      <c r="CI39" s="1">
        <v>7.5</v>
      </c>
      <c r="CJ39" s="1" t="s">
        <v>6</v>
      </c>
      <c r="CK39" s="1">
        <v>8.5</v>
      </c>
      <c r="CL39" s="1" t="s">
        <v>6</v>
      </c>
      <c r="CM39" s="1" t="s">
        <v>6</v>
      </c>
      <c r="CN39" s="1" t="s">
        <v>13</v>
      </c>
      <c r="CO39" s="1" t="s">
        <v>6</v>
      </c>
      <c r="CP39" s="1" t="s">
        <v>8</v>
      </c>
      <c r="CQ39" s="1" t="s">
        <v>6</v>
      </c>
      <c r="CR39" s="1">
        <v>1</v>
      </c>
      <c r="CS39" s="1" t="s">
        <v>6</v>
      </c>
      <c r="CT39" s="1">
        <v>1</v>
      </c>
      <c r="CU39" s="1" t="s">
        <v>6</v>
      </c>
      <c r="CV39" s="1">
        <v>4.5</v>
      </c>
      <c r="CW39" s="1" t="s">
        <v>6</v>
      </c>
      <c r="CX39" s="1">
        <v>5.5</v>
      </c>
      <c r="CY39" s="1" t="s">
        <v>6</v>
      </c>
      <c r="CZ39" s="1" t="s">
        <v>6</v>
      </c>
      <c r="DA39" s="1" t="s">
        <v>3</v>
      </c>
      <c r="DB39" s="1" t="s">
        <v>6</v>
      </c>
      <c r="DC39" s="1" t="s">
        <v>14</v>
      </c>
      <c r="DD39" s="1" t="s">
        <v>6</v>
      </c>
      <c r="DE39" s="1" t="s">
        <v>15</v>
      </c>
      <c r="DF39" s="1" t="s">
        <v>6</v>
      </c>
      <c r="DG39" s="1">
        <v>1</v>
      </c>
      <c r="DH39" s="1" t="s">
        <v>6</v>
      </c>
      <c r="DI39" s="1">
        <v>4.5999999999999996</v>
      </c>
      <c r="DJ39" s="1" t="s">
        <v>6</v>
      </c>
      <c r="DK39" s="1">
        <v>5.6</v>
      </c>
      <c r="DL39" s="1" t="s">
        <v>6</v>
      </c>
      <c r="DM39" s="1" t="s">
        <v>6</v>
      </c>
      <c r="DN39" s="1" t="s">
        <v>4</v>
      </c>
      <c r="DO39" s="1" t="s">
        <v>6</v>
      </c>
      <c r="DP39" s="1" t="s">
        <v>8</v>
      </c>
      <c r="DQ39" s="1" t="s">
        <v>6</v>
      </c>
      <c r="DR39" s="1">
        <v>10</v>
      </c>
      <c r="DS39" s="1" t="s">
        <v>6</v>
      </c>
      <c r="DT39" s="1">
        <v>1</v>
      </c>
      <c r="DU39" s="1" t="s">
        <v>6</v>
      </c>
      <c r="DV39" s="1">
        <v>5.4</v>
      </c>
      <c r="DW39" s="1" t="s">
        <v>6</v>
      </c>
      <c r="DX39" s="1">
        <v>6.4</v>
      </c>
      <c r="DY39" s="1" t="s">
        <v>6</v>
      </c>
      <c r="DZ39" s="1" t="s">
        <v>6</v>
      </c>
      <c r="EA39" s="1" t="s">
        <v>16</v>
      </c>
      <c r="EB39" s="1" t="s">
        <v>6</v>
      </c>
      <c r="EC39" s="1" t="s">
        <v>8</v>
      </c>
      <c r="ED39" s="1" t="s">
        <v>6</v>
      </c>
      <c r="EE39" s="1">
        <v>1</v>
      </c>
      <c r="EF39" s="1" t="s">
        <v>6</v>
      </c>
      <c r="EG39" s="1">
        <v>1</v>
      </c>
      <c r="EH39" s="1" t="s">
        <v>6</v>
      </c>
      <c r="EI39" s="1">
        <v>10.9</v>
      </c>
      <c r="EJ39" s="1" t="s">
        <v>6</v>
      </c>
      <c r="EK39" s="1">
        <v>11.9</v>
      </c>
      <c r="EL39" s="1" t="s">
        <v>6</v>
      </c>
      <c r="EM39" s="1" t="s">
        <v>6</v>
      </c>
      <c r="EN39" s="1" t="s">
        <v>17</v>
      </c>
      <c r="EO39" s="1" t="s">
        <v>6</v>
      </c>
      <c r="EP39" s="1" t="s">
        <v>8</v>
      </c>
      <c r="EQ39" s="1" t="s">
        <v>6</v>
      </c>
      <c r="ER39" s="1">
        <v>1</v>
      </c>
      <c r="ES39" s="1" t="s">
        <v>6</v>
      </c>
      <c r="ET39" s="1">
        <v>1</v>
      </c>
      <c r="EU39" s="1" t="s">
        <v>6</v>
      </c>
      <c r="EV39" s="1">
        <v>9.1</v>
      </c>
      <c r="EW39" s="1" t="s">
        <v>6</v>
      </c>
      <c r="EX39" s="1">
        <v>10.1</v>
      </c>
      <c r="EY39" s="1" t="s">
        <v>6</v>
      </c>
      <c r="EZ39" s="1" t="s">
        <v>6</v>
      </c>
      <c r="FA39" s="1" t="s">
        <v>5</v>
      </c>
      <c r="FB39" s="1" t="s">
        <v>6</v>
      </c>
      <c r="FC39" s="1" t="s">
        <v>8</v>
      </c>
      <c r="FD39" s="1" t="s">
        <v>6</v>
      </c>
      <c r="FE39" s="1">
        <v>1</v>
      </c>
      <c r="FF39" s="1" t="s">
        <v>6</v>
      </c>
      <c r="FG39" s="1">
        <v>1</v>
      </c>
      <c r="FH39" s="1" t="s">
        <v>6</v>
      </c>
      <c r="FI39" s="1">
        <v>7</v>
      </c>
      <c r="FJ39" s="1" t="s">
        <v>6</v>
      </c>
      <c r="FK39" s="1">
        <v>8</v>
      </c>
      <c r="FL39" s="1" t="s">
        <v>6</v>
      </c>
      <c r="FM39" s="1" t="s">
        <v>6</v>
      </c>
      <c r="FN39" s="1" t="s">
        <v>18</v>
      </c>
      <c r="FO39" s="1" t="s">
        <v>6</v>
      </c>
      <c r="FP39" s="1" t="s">
        <v>8</v>
      </c>
      <c r="FQ39" s="1" t="s">
        <v>6</v>
      </c>
      <c r="FR39" s="1">
        <v>1</v>
      </c>
      <c r="FS39" s="1" t="s">
        <v>6</v>
      </c>
      <c r="FT39" s="1">
        <v>1</v>
      </c>
      <c r="FU39" s="1" t="s">
        <v>6</v>
      </c>
      <c r="FV39" s="1">
        <v>7.5</v>
      </c>
      <c r="FW39" s="1" t="s">
        <v>6</v>
      </c>
      <c r="FX39" s="1">
        <v>8.5</v>
      </c>
      <c r="FY39" s="1" t="s">
        <v>6</v>
      </c>
      <c r="FZ39" s="1" t="s">
        <v>6</v>
      </c>
      <c r="GA39" s="1" t="s">
        <v>19</v>
      </c>
      <c r="GB39" s="1" t="s">
        <v>6</v>
      </c>
      <c r="GC39" s="1">
        <v>261</v>
      </c>
      <c r="GD39" s="1" t="s">
        <v>6</v>
      </c>
      <c r="GE39" s="1">
        <v>1</v>
      </c>
      <c r="GF39" s="1" t="s">
        <v>6</v>
      </c>
      <c r="GG39" s="1">
        <v>1</v>
      </c>
      <c r="GH39" s="1" t="s">
        <v>6</v>
      </c>
      <c r="GI39" s="1">
        <v>7.2</v>
      </c>
      <c r="GJ39" s="1" t="s">
        <v>6</v>
      </c>
      <c r="GK39" s="1">
        <v>9.1999999999999993</v>
      </c>
      <c r="GL39" s="1" t="s">
        <v>6</v>
      </c>
    </row>
    <row r="40" spans="1:194">
      <c r="A40" s="21" t="s">
        <v>33</v>
      </c>
      <c r="B40" s="21"/>
      <c r="C40" s="5"/>
      <c r="D40" s="5"/>
      <c r="E40" s="5">
        <v>40</v>
      </c>
      <c r="F40" s="5">
        <v>7</v>
      </c>
      <c r="G40" s="5">
        <v>8</v>
      </c>
      <c r="H40" s="6">
        <v>1.85</v>
      </c>
    </row>
    <row r="41" spans="1:194">
      <c r="A41" s="20"/>
      <c r="B41" s="20"/>
      <c r="C41" s="5"/>
      <c r="D41" s="5"/>
      <c r="E41" s="5">
        <f>E40*$D40</f>
        <v>0</v>
      </c>
      <c r="F41" s="5">
        <f t="shared" ref="F41" si="25">F40*$D40</f>
        <v>0</v>
      </c>
      <c r="G41" s="5">
        <f t="shared" ref="G41" si="26">G40*$D40</f>
        <v>0</v>
      </c>
      <c r="H41" s="5">
        <f t="shared" ref="H41" si="27">H40*$D40</f>
        <v>0</v>
      </c>
    </row>
    <row r="42" spans="1:194">
      <c r="A42" s="20"/>
      <c r="B42" s="20"/>
      <c r="C42" s="5"/>
      <c r="D42" s="5"/>
      <c r="E42" s="5"/>
      <c r="F42" s="5"/>
      <c r="G42" s="5"/>
      <c r="H42" s="5"/>
    </row>
    <row r="43" spans="1:194">
      <c r="A43" s="21"/>
      <c r="B43" s="21"/>
      <c r="C43" s="7"/>
      <c r="D43" s="7"/>
      <c r="E43" s="8"/>
      <c r="F43" s="7"/>
      <c r="G43" s="7"/>
      <c r="H43" s="7"/>
    </row>
    <row r="44" spans="1:194">
      <c r="A44" s="21" t="s">
        <v>34</v>
      </c>
      <c r="B44" s="21"/>
      <c r="C44" s="5"/>
      <c r="D44" s="5"/>
      <c r="E44" s="5">
        <v>40</v>
      </c>
      <c r="F44" s="5">
        <v>7</v>
      </c>
      <c r="G44" s="5">
        <v>8</v>
      </c>
      <c r="H44" s="6">
        <v>1.85</v>
      </c>
    </row>
    <row r="45" spans="1:194">
      <c r="A45" s="20"/>
      <c r="B45" s="20"/>
      <c r="C45" s="5"/>
      <c r="D45" s="5"/>
      <c r="E45" s="5">
        <f>E44*$D44</f>
        <v>0</v>
      </c>
      <c r="F45" s="5">
        <f t="shared" ref="F45" si="28">F44*$D44</f>
        <v>0</v>
      </c>
      <c r="G45" s="5">
        <f t="shared" ref="G45" si="29">G44*$D44</f>
        <v>0</v>
      </c>
      <c r="H45" s="5">
        <f t="shared" ref="H45" si="30">H44*$D44</f>
        <v>0</v>
      </c>
    </row>
    <row r="46" spans="1:194">
      <c r="A46" s="20"/>
      <c r="B46" s="20"/>
      <c r="C46" s="5"/>
      <c r="D46" s="5"/>
      <c r="E46" s="5"/>
      <c r="F46" s="5"/>
      <c r="G46" s="5"/>
      <c r="H46" s="5"/>
    </row>
    <row r="47" spans="1:194">
      <c r="A47" s="21"/>
      <c r="B47" s="21"/>
      <c r="C47" s="7"/>
      <c r="D47" s="7"/>
      <c r="E47" s="8"/>
      <c r="F47" s="7"/>
      <c r="G47" s="7"/>
      <c r="H47" s="7"/>
    </row>
    <row r="48" spans="1:194">
      <c r="A48" s="21" t="s">
        <v>25</v>
      </c>
      <c r="B48" s="21"/>
      <c r="C48" s="5"/>
      <c r="D48" s="5"/>
      <c r="E48" s="5">
        <v>80</v>
      </c>
      <c r="F48" s="5">
        <v>7.5</v>
      </c>
      <c r="G48" s="5">
        <v>8.5</v>
      </c>
      <c r="H48" s="6">
        <v>1.85</v>
      </c>
    </row>
    <row r="49" spans="1:8">
      <c r="A49" s="20"/>
      <c r="B49" s="20"/>
      <c r="C49" s="5"/>
      <c r="D49" s="5"/>
      <c r="E49" s="5">
        <f>E48*$D48</f>
        <v>0</v>
      </c>
      <c r="F49" s="5">
        <f t="shared" ref="F49" si="31">F48*$D48</f>
        <v>0</v>
      </c>
      <c r="G49" s="5">
        <f t="shared" ref="G49" si="32">G48*$D48</f>
        <v>0</v>
      </c>
      <c r="H49" s="5">
        <f t="shared" ref="H49" si="33">H48*$D48</f>
        <v>0</v>
      </c>
    </row>
    <row r="50" spans="1:8">
      <c r="A50" s="20"/>
      <c r="B50" s="20"/>
      <c r="C50" s="5"/>
      <c r="D50" s="5"/>
      <c r="E50" s="5"/>
      <c r="F50" s="5"/>
      <c r="G50" s="5"/>
      <c r="H50" s="5"/>
    </row>
    <row r="51" spans="1:8">
      <c r="A51" s="21"/>
      <c r="B51" s="21"/>
      <c r="C51" s="7"/>
      <c r="D51" s="7"/>
      <c r="E51" s="8"/>
      <c r="F51" s="7"/>
      <c r="G51" s="7"/>
      <c r="H51" s="7"/>
    </row>
    <row r="52" spans="1:8">
      <c r="A52" s="21" t="s">
        <v>38</v>
      </c>
      <c r="B52" s="21"/>
      <c r="C52" s="5"/>
      <c r="D52" s="5"/>
      <c r="E52" s="5">
        <v>200</v>
      </c>
      <c r="F52" s="5">
        <v>7</v>
      </c>
      <c r="G52" s="5">
        <v>8</v>
      </c>
      <c r="H52" s="6">
        <v>1.85</v>
      </c>
    </row>
    <row r="53" spans="1:8">
      <c r="A53" s="20"/>
      <c r="B53" s="20"/>
      <c r="C53" s="5"/>
      <c r="D53" s="5"/>
      <c r="E53" s="5">
        <f>E52*$D52</f>
        <v>0</v>
      </c>
      <c r="F53" s="5">
        <f t="shared" ref="F53" si="34">F52*$D52</f>
        <v>0</v>
      </c>
      <c r="G53" s="5">
        <f t="shared" ref="G53" si="35">G52*$D52</f>
        <v>0</v>
      </c>
      <c r="H53" s="5">
        <f t="shared" ref="H53" si="36">H52*$D52</f>
        <v>0</v>
      </c>
    </row>
    <row r="54" spans="1:8">
      <c r="A54" s="20"/>
      <c r="B54" s="20"/>
      <c r="C54" s="5"/>
      <c r="D54" s="5"/>
      <c r="E54" s="5"/>
      <c r="F54" s="5"/>
      <c r="G54" s="5"/>
      <c r="H54" s="5"/>
    </row>
    <row r="55" spans="1:8">
      <c r="A55" s="21"/>
      <c r="B55" s="21"/>
      <c r="C55" s="7"/>
      <c r="D55" s="7"/>
      <c r="E55" s="8"/>
      <c r="F55" s="7"/>
      <c r="G55" s="7"/>
      <c r="H55" s="7"/>
    </row>
    <row r="56" spans="1:8">
      <c r="A56" s="21" t="s">
        <v>35</v>
      </c>
      <c r="B56" s="21"/>
      <c r="C56" s="5"/>
      <c r="D56" s="5"/>
      <c r="E56" s="5">
        <v>20</v>
      </c>
      <c r="F56" s="5">
        <v>7.2</v>
      </c>
      <c r="G56" s="5">
        <v>9.1999999999999993</v>
      </c>
      <c r="H56" s="6">
        <v>2.6</v>
      </c>
    </row>
    <row r="57" spans="1:8">
      <c r="A57" s="20"/>
      <c r="B57" s="20"/>
      <c r="C57" s="5"/>
      <c r="D57" s="5"/>
      <c r="E57" s="5">
        <f>E56*$D56</f>
        <v>0</v>
      </c>
      <c r="F57" s="5">
        <f t="shared" ref="F57" si="37">F56*$D56</f>
        <v>0</v>
      </c>
      <c r="G57" s="5">
        <f t="shared" ref="G57" si="38">G56*$D56</f>
        <v>0</v>
      </c>
      <c r="H57" s="5">
        <f t="shared" ref="H57" si="39">H56*$D56</f>
        <v>0</v>
      </c>
    </row>
    <row r="58" spans="1:8">
      <c r="A58" s="20"/>
      <c r="B58" s="20"/>
      <c r="C58" s="5"/>
      <c r="D58" s="5"/>
      <c r="E58" s="5"/>
      <c r="F58" s="5"/>
      <c r="G58" s="5"/>
      <c r="H58" s="5"/>
    </row>
    <row r="59" spans="1:8">
      <c r="A59" s="21"/>
      <c r="B59" s="21"/>
      <c r="C59" s="7"/>
      <c r="D59" s="7"/>
      <c r="E59" s="8"/>
      <c r="F59" s="7"/>
      <c r="G59" s="7"/>
      <c r="H59" s="7"/>
    </row>
    <row r="60" spans="1:8">
      <c r="A60" s="22" t="s">
        <v>78</v>
      </c>
      <c r="B60" s="23"/>
      <c r="C60" s="5"/>
      <c r="D60" s="5"/>
      <c r="E60" s="5">
        <v>40</v>
      </c>
      <c r="F60" s="5">
        <v>7.2</v>
      </c>
      <c r="G60" s="5">
        <v>8.1999999999999993</v>
      </c>
      <c r="H60" s="6">
        <v>1.85</v>
      </c>
    </row>
    <row r="61" spans="1:8">
      <c r="A61" s="20"/>
      <c r="B61" s="20"/>
      <c r="C61" s="5"/>
      <c r="D61" s="5"/>
      <c r="E61" s="5">
        <f>E60*$D60</f>
        <v>0</v>
      </c>
      <c r="F61" s="5">
        <f t="shared" ref="F61" si="40">F60*$D60</f>
        <v>0</v>
      </c>
      <c r="G61" s="5">
        <f t="shared" ref="G61" si="41">G60*$D60</f>
        <v>0</v>
      </c>
      <c r="H61" s="5">
        <f t="shared" ref="H61" si="42">H60*$D60</f>
        <v>0</v>
      </c>
    </row>
    <row r="62" spans="1:8">
      <c r="A62" s="20"/>
      <c r="B62" s="20"/>
      <c r="C62" s="5"/>
      <c r="D62" s="5"/>
      <c r="E62" s="5"/>
      <c r="F62" s="5"/>
      <c r="G62" s="5"/>
      <c r="H62" s="5"/>
    </row>
    <row r="63" spans="1:8">
      <c r="A63" s="21"/>
      <c r="B63" s="21"/>
      <c r="C63" s="7"/>
      <c r="D63" s="7"/>
      <c r="E63" s="8"/>
      <c r="F63" s="7"/>
      <c r="G63" s="7"/>
      <c r="H63" s="7"/>
    </row>
    <row r="64" spans="1:8">
      <c r="A64" s="22" t="s">
        <v>79</v>
      </c>
      <c r="B64" s="23"/>
      <c r="C64" s="5"/>
      <c r="D64" s="5"/>
      <c r="E64" s="5">
        <v>40</v>
      </c>
      <c r="F64" s="5">
        <v>3.9</v>
      </c>
      <c r="G64" s="5">
        <v>4.9000000000000004</v>
      </c>
      <c r="H64" s="6">
        <v>1.85</v>
      </c>
    </row>
    <row r="65" spans="1:8">
      <c r="A65" s="20"/>
      <c r="B65" s="20"/>
      <c r="C65" s="5"/>
      <c r="D65" s="5"/>
      <c r="E65" s="5">
        <f>E64*$D64</f>
        <v>0</v>
      </c>
      <c r="F65" s="5">
        <f t="shared" ref="F65" si="43">F64*$D64</f>
        <v>0</v>
      </c>
      <c r="G65" s="5">
        <f t="shared" ref="G65" si="44">G64*$D64</f>
        <v>0</v>
      </c>
      <c r="H65" s="5">
        <f t="shared" ref="H65" si="45">H64*$D64</f>
        <v>0</v>
      </c>
    </row>
    <row r="66" spans="1:8">
      <c r="A66" s="20"/>
      <c r="B66" s="20"/>
      <c r="C66" s="5"/>
      <c r="D66" s="5"/>
      <c r="E66" s="5"/>
      <c r="F66" s="5"/>
      <c r="G66" s="5"/>
      <c r="H66" s="5"/>
    </row>
    <row r="67" spans="1:8">
      <c r="A67" s="21"/>
      <c r="B67" s="21"/>
      <c r="C67" s="7"/>
      <c r="D67" s="7"/>
      <c r="E67" s="8"/>
      <c r="F67" s="7"/>
      <c r="G67" s="7"/>
      <c r="H67" s="7"/>
    </row>
    <row r="68" spans="1:8">
      <c r="A68" s="22" t="s">
        <v>80</v>
      </c>
      <c r="B68" s="23"/>
      <c r="C68" s="5"/>
      <c r="D68" s="5"/>
      <c r="E68" s="5">
        <v>40</v>
      </c>
      <c r="F68" s="5">
        <v>3.9</v>
      </c>
      <c r="G68" s="5">
        <v>4.9000000000000004</v>
      </c>
      <c r="H68" s="6">
        <v>1.85</v>
      </c>
    </row>
    <row r="69" spans="1:8">
      <c r="A69" s="20"/>
      <c r="B69" s="20"/>
      <c r="C69" s="5"/>
      <c r="D69" s="5"/>
      <c r="E69" s="5">
        <f>E68*$D68</f>
        <v>0</v>
      </c>
      <c r="F69" s="5">
        <f t="shared" ref="F69" si="46">F68*$D68</f>
        <v>0</v>
      </c>
      <c r="G69" s="5">
        <f t="shared" ref="G69" si="47">G68*$D68</f>
        <v>0</v>
      </c>
      <c r="H69" s="5">
        <f t="shared" ref="H69" si="48">H68*$D68</f>
        <v>0</v>
      </c>
    </row>
    <row r="70" spans="1:8">
      <c r="A70" s="20"/>
      <c r="B70" s="20"/>
      <c r="C70" s="5"/>
      <c r="D70" s="5"/>
      <c r="E70" s="5"/>
      <c r="F70" s="5"/>
      <c r="G70" s="5"/>
      <c r="H70" s="5"/>
    </row>
    <row r="71" spans="1:8">
      <c r="A71" s="21"/>
      <c r="B71" s="21"/>
      <c r="C71" s="7"/>
      <c r="D71" s="7"/>
      <c r="E71" s="8"/>
      <c r="F71" s="7"/>
      <c r="G71" s="7"/>
      <c r="H71" s="7"/>
    </row>
    <row r="72" spans="1:8">
      <c r="A72" s="22" t="s">
        <v>81</v>
      </c>
      <c r="B72" s="23"/>
      <c r="C72" s="5"/>
      <c r="D72" s="5"/>
      <c r="E72" s="5">
        <v>40</v>
      </c>
      <c r="F72" s="5">
        <v>2.8</v>
      </c>
      <c r="G72" s="5">
        <v>3.8</v>
      </c>
      <c r="H72" s="6">
        <v>1.85</v>
      </c>
    </row>
    <row r="73" spans="1:8">
      <c r="A73" s="20"/>
      <c r="B73" s="20"/>
      <c r="C73" s="5"/>
      <c r="D73" s="5"/>
      <c r="E73" s="5">
        <f>E72*$D72</f>
        <v>0</v>
      </c>
      <c r="F73" s="5">
        <f t="shared" ref="F73" si="49">F72*$D72</f>
        <v>0</v>
      </c>
      <c r="G73" s="5">
        <f t="shared" ref="G73" si="50">G72*$D72</f>
        <v>0</v>
      </c>
      <c r="H73" s="5">
        <f t="shared" ref="H73" si="51">H72*$D72</f>
        <v>0</v>
      </c>
    </row>
    <row r="74" spans="1:8">
      <c r="A74" s="20"/>
      <c r="B74" s="20"/>
      <c r="C74" s="5"/>
      <c r="D74" s="5"/>
      <c r="E74" s="5"/>
      <c r="F74" s="5"/>
      <c r="G74" s="5"/>
      <c r="H74" s="5"/>
    </row>
    <row r="75" spans="1:8">
      <c r="A75" s="21"/>
      <c r="B75" s="21"/>
      <c r="C75" s="7"/>
      <c r="D75" s="7"/>
      <c r="E75" s="8"/>
      <c r="F75" s="7"/>
      <c r="G75" s="7"/>
      <c r="H75" s="7"/>
    </row>
    <row r="76" spans="1:8">
      <c r="A76" s="22" t="s">
        <v>82</v>
      </c>
      <c r="B76" s="23"/>
      <c r="C76" s="5"/>
      <c r="D76" s="5"/>
      <c r="E76" s="5">
        <v>80</v>
      </c>
      <c r="F76" s="5">
        <v>4.8</v>
      </c>
      <c r="G76" s="5">
        <v>5.8</v>
      </c>
      <c r="H76" s="6">
        <v>1.85</v>
      </c>
    </row>
    <row r="77" spans="1:8">
      <c r="A77" s="20"/>
      <c r="B77" s="20"/>
      <c r="C77" s="5"/>
      <c r="D77" s="5"/>
      <c r="E77" s="5">
        <f>E76*$D76</f>
        <v>0</v>
      </c>
      <c r="F77" s="5">
        <f t="shared" ref="F77" si="52">F76*$D76</f>
        <v>0</v>
      </c>
      <c r="G77" s="5">
        <f t="shared" ref="G77" si="53">G76*$D76</f>
        <v>0</v>
      </c>
      <c r="H77" s="5">
        <f t="shared" ref="H77" si="54">H76*$D76</f>
        <v>0</v>
      </c>
    </row>
    <row r="78" spans="1:8">
      <c r="A78" s="20"/>
      <c r="B78" s="20"/>
      <c r="C78" s="5"/>
      <c r="D78" s="5"/>
      <c r="E78" s="5"/>
      <c r="F78" s="5"/>
      <c r="G78" s="5"/>
      <c r="H78" s="5"/>
    </row>
    <row r="79" spans="1:8">
      <c r="A79" s="21"/>
      <c r="B79" s="21"/>
      <c r="C79" s="7"/>
      <c r="D79" s="7"/>
      <c r="E79" s="8"/>
      <c r="F79" s="7"/>
      <c r="G79" s="7"/>
      <c r="H79" s="7"/>
    </row>
    <row r="80" spans="1:8">
      <c r="A80" s="22" t="s">
        <v>83</v>
      </c>
      <c r="B80" s="23"/>
      <c r="C80" s="5"/>
      <c r="D80" s="5"/>
      <c r="E80" s="5">
        <v>80</v>
      </c>
      <c r="F80" s="5">
        <v>4.4000000000000004</v>
      </c>
      <c r="G80" s="5">
        <v>5.4</v>
      </c>
      <c r="H80" s="6">
        <v>1.85</v>
      </c>
    </row>
    <row r="81" spans="1:8">
      <c r="A81" s="20"/>
      <c r="B81" s="20"/>
      <c r="C81" s="5"/>
      <c r="D81" s="5"/>
      <c r="E81" s="5">
        <f>E80*$D80</f>
        <v>0</v>
      </c>
      <c r="F81" s="5">
        <f t="shared" ref="F81" si="55">F80*$D80</f>
        <v>0</v>
      </c>
      <c r="G81" s="5">
        <f t="shared" ref="G81" si="56">G80*$D80</f>
        <v>0</v>
      </c>
      <c r="H81" s="5">
        <f t="shared" ref="H81" si="57">H80*$D80</f>
        <v>0</v>
      </c>
    </row>
    <row r="82" spans="1:8">
      <c r="A82" s="20"/>
      <c r="B82" s="20"/>
      <c r="C82" s="5"/>
      <c r="D82" s="5"/>
      <c r="E82" s="5"/>
      <c r="F82" s="5"/>
      <c r="G82" s="5"/>
      <c r="H82" s="5"/>
    </row>
    <row r="83" spans="1:8">
      <c r="A83" s="9" t="s">
        <v>88</v>
      </c>
      <c r="B83" s="7"/>
      <c r="C83" s="7"/>
      <c r="D83" s="7"/>
      <c r="E83" s="8"/>
      <c r="F83" s="7"/>
      <c r="G83" s="7"/>
      <c r="H83" s="7"/>
    </row>
    <row r="84" spans="1:8">
      <c r="A84" s="9" t="s">
        <v>36</v>
      </c>
      <c r="B84" s="7"/>
      <c r="C84" s="7"/>
      <c r="D84" s="7"/>
      <c r="E84" s="8"/>
      <c r="F84" s="7"/>
      <c r="G84" s="7"/>
      <c r="H84" s="7"/>
    </row>
    <row r="85" spans="1:8">
      <c r="A85" s="9" t="s">
        <v>77</v>
      </c>
      <c r="B85" s="7"/>
      <c r="C85" s="7"/>
      <c r="D85" s="7"/>
      <c r="E85" s="8"/>
      <c r="F85" s="7"/>
      <c r="G85" s="7"/>
      <c r="H85" s="7"/>
    </row>
    <row r="86" spans="1:8">
      <c r="A86" s="9" t="s">
        <v>39</v>
      </c>
      <c r="B86" s="7"/>
      <c r="C86" s="7"/>
      <c r="D86" s="7"/>
      <c r="E86" s="8"/>
      <c r="F86" s="7"/>
      <c r="G86" s="7"/>
      <c r="H86" s="7"/>
    </row>
    <row r="87" spans="1:8">
      <c r="A87" s="9" t="s">
        <v>40</v>
      </c>
      <c r="B87" s="7"/>
      <c r="C87" s="7"/>
      <c r="D87" s="7"/>
      <c r="E87" s="8"/>
      <c r="F87" s="7"/>
      <c r="G87" s="7"/>
      <c r="H87" s="7"/>
    </row>
    <row r="88" spans="1:8">
      <c r="A88" s="9" t="s">
        <v>41</v>
      </c>
      <c r="B88" s="7"/>
      <c r="C88" s="7"/>
      <c r="D88" s="7"/>
      <c r="E88" s="8"/>
      <c r="F88" s="7"/>
      <c r="G88" s="7"/>
      <c r="H88" s="7"/>
    </row>
    <row r="89" spans="1:8">
      <c r="A89" s="9" t="s">
        <v>42</v>
      </c>
      <c r="B89" s="7"/>
      <c r="C89" s="7"/>
      <c r="D89" s="7"/>
      <c r="E89" s="8"/>
      <c r="F89" s="7"/>
      <c r="G89" s="7"/>
      <c r="H89" s="7"/>
    </row>
    <row r="90" spans="1:8">
      <c r="A90" s="9" t="s">
        <v>43</v>
      </c>
      <c r="B90" s="7"/>
      <c r="C90" s="7"/>
      <c r="D90" s="7"/>
      <c r="E90" s="8"/>
      <c r="F90" s="7"/>
      <c r="G90" s="7"/>
      <c r="H90" s="7"/>
    </row>
    <row r="91" spans="1:8">
      <c r="A91" s="9" t="s">
        <v>44</v>
      </c>
      <c r="B91" s="7"/>
      <c r="C91" s="7"/>
      <c r="D91" s="7"/>
      <c r="E91" s="8"/>
      <c r="F91" s="7"/>
      <c r="G91" s="7"/>
      <c r="H91" s="7"/>
    </row>
    <row r="92" spans="1:8">
      <c r="A92" s="9" t="s">
        <v>45</v>
      </c>
      <c r="B92" s="7"/>
      <c r="C92" s="7"/>
      <c r="D92" s="7"/>
      <c r="E92" s="8"/>
      <c r="F92" s="7"/>
      <c r="G92" s="7"/>
      <c r="H92" s="7"/>
    </row>
    <row r="93" spans="1:8">
      <c r="A93" s="9" t="s">
        <v>46</v>
      </c>
      <c r="B93" s="7"/>
      <c r="C93" s="7"/>
      <c r="D93" s="7"/>
      <c r="E93" s="8"/>
      <c r="F93" s="7"/>
      <c r="G93" s="7"/>
      <c r="H93" s="7"/>
    </row>
    <row r="94" spans="1:8">
      <c r="A94" s="9" t="s">
        <v>47</v>
      </c>
      <c r="B94" s="7"/>
      <c r="C94" s="7"/>
      <c r="D94" s="7"/>
      <c r="E94" s="8"/>
      <c r="F94" s="7"/>
      <c r="G94" s="7"/>
      <c r="H94" s="7"/>
    </row>
    <row r="95" spans="1:8">
      <c r="A95" s="9" t="s">
        <v>48</v>
      </c>
      <c r="B95" s="7"/>
      <c r="C95" s="7"/>
      <c r="D95" s="7"/>
      <c r="E95" s="8"/>
      <c r="F95" s="7"/>
      <c r="G95" s="7"/>
      <c r="H95" s="7"/>
    </row>
    <row r="96" spans="1:8">
      <c r="A96" s="9" t="s">
        <v>49</v>
      </c>
      <c r="B96" s="7"/>
      <c r="C96" s="7"/>
      <c r="D96" s="7"/>
      <c r="E96" s="8"/>
      <c r="F96" s="7"/>
      <c r="G96" s="7"/>
      <c r="H96" s="7"/>
    </row>
    <row r="97" spans="1:10">
      <c r="A97" s="9" t="s">
        <v>58</v>
      </c>
      <c r="B97" s="7"/>
      <c r="C97" s="7"/>
      <c r="D97" s="7"/>
      <c r="E97" s="8"/>
      <c r="F97" s="7"/>
      <c r="G97" s="7"/>
      <c r="H97" s="7"/>
    </row>
    <row r="98" spans="1:10">
      <c r="A98" s="9" t="s">
        <v>75</v>
      </c>
      <c r="B98" s="7"/>
      <c r="C98" s="7"/>
      <c r="D98" s="7"/>
      <c r="E98" s="8"/>
      <c r="F98" s="7"/>
      <c r="G98" s="7"/>
      <c r="H98" s="7"/>
    </row>
    <row r="99" spans="1:10">
      <c r="A99" s="9" t="s">
        <v>76</v>
      </c>
      <c r="B99" s="7"/>
      <c r="C99" s="7"/>
      <c r="D99" s="7"/>
      <c r="E99" s="8"/>
      <c r="F99" s="7"/>
      <c r="G99" s="7"/>
      <c r="H99" s="7"/>
    </row>
    <row r="100" spans="1:10">
      <c r="A100" s="24" t="s">
        <v>87</v>
      </c>
      <c r="B100" s="25"/>
      <c r="C100" s="7"/>
      <c r="D100" s="7"/>
      <c r="E100" s="8"/>
      <c r="F100" s="7"/>
      <c r="G100" s="7"/>
      <c r="H100" s="7"/>
    </row>
    <row r="101" spans="1:10">
      <c r="A101" s="21" t="s">
        <v>63</v>
      </c>
      <c r="B101" s="21"/>
      <c r="C101" s="5"/>
      <c r="D101" s="5"/>
      <c r="E101" s="5">
        <v>400</v>
      </c>
      <c r="F101" s="5">
        <v>7</v>
      </c>
      <c r="G101" s="5">
        <v>8</v>
      </c>
      <c r="H101" s="6">
        <v>1.2</v>
      </c>
      <c r="J101" s="1" t="s">
        <v>53</v>
      </c>
    </row>
    <row r="103" spans="1:10">
      <c r="A103" s="21" t="s">
        <v>64</v>
      </c>
      <c r="B103" s="21"/>
      <c r="C103" s="5"/>
      <c r="D103" s="5"/>
      <c r="E103" s="5">
        <v>500</v>
      </c>
      <c r="F103" s="5">
        <v>5</v>
      </c>
      <c r="G103" s="5">
        <v>6</v>
      </c>
      <c r="H103" s="6">
        <v>1.22</v>
      </c>
      <c r="J103" s="1" t="s">
        <v>54</v>
      </c>
    </row>
    <row r="105" spans="1:10">
      <c r="A105" s="21" t="s">
        <v>65</v>
      </c>
      <c r="B105" s="21"/>
      <c r="C105" s="5"/>
      <c r="D105" s="5"/>
      <c r="E105" s="5">
        <v>300</v>
      </c>
      <c r="F105" s="5">
        <v>9</v>
      </c>
      <c r="G105" s="5">
        <v>10</v>
      </c>
      <c r="H105" s="6">
        <v>1.2</v>
      </c>
      <c r="J105" s="1" t="s">
        <v>53</v>
      </c>
    </row>
    <row r="107" spans="1:10">
      <c r="A107" s="21" t="s">
        <v>66</v>
      </c>
      <c r="B107" s="21"/>
      <c r="C107" s="5"/>
      <c r="D107" s="5"/>
      <c r="E107" s="5">
        <v>400</v>
      </c>
      <c r="F107" s="5">
        <v>7</v>
      </c>
      <c r="G107" s="5">
        <v>8</v>
      </c>
      <c r="H107" s="6">
        <v>1.2</v>
      </c>
      <c r="J107" s="1" t="s">
        <v>53</v>
      </c>
    </row>
    <row r="109" spans="1:10">
      <c r="A109" s="21" t="s">
        <v>67</v>
      </c>
      <c r="B109" s="21"/>
      <c r="C109" s="5"/>
      <c r="D109" s="5"/>
      <c r="E109" s="5">
        <v>360</v>
      </c>
      <c r="F109" s="5">
        <v>12.4</v>
      </c>
      <c r="G109" s="5">
        <v>13.4</v>
      </c>
      <c r="H109" s="6">
        <v>1.2</v>
      </c>
      <c r="J109" s="1" t="s">
        <v>54</v>
      </c>
    </row>
    <row r="111" spans="1:10">
      <c r="A111" s="21" t="s">
        <v>68</v>
      </c>
      <c r="B111" s="21"/>
      <c r="C111" s="5"/>
      <c r="D111" s="5"/>
      <c r="E111" s="5">
        <v>120</v>
      </c>
      <c r="F111" s="5">
        <v>10</v>
      </c>
      <c r="G111" s="5">
        <v>11</v>
      </c>
      <c r="H111" s="6">
        <v>1.2</v>
      </c>
      <c r="J111" s="1" t="s">
        <v>53</v>
      </c>
    </row>
    <row r="113" spans="1:10" ht="16.5">
      <c r="A113" s="21" t="s">
        <v>69</v>
      </c>
      <c r="B113" s="21"/>
      <c r="C113" s="5"/>
      <c r="D113" s="5"/>
      <c r="E113" s="5">
        <v>120</v>
      </c>
      <c r="F113" s="5">
        <v>10</v>
      </c>
      <c r="G113" s="5">
        <v>11</v>
      </c>
      <c r="H113" s="6">
        <v>1.2</v>
      </c>
      <c r="J113" s="13" t="s">
        <v>53</v>
      </c>
    </row>
    <row r="114" spans="1:10">
      <c r="A114" s="24" t="s">
        <v>59</v>
      </c>
      <c r="B114" s="25"/>
      <c r="C114" s="5"/>
      <c r="D114" s="5"/>
      <c r="E114" s="5">
        <v>50</v>
      </c>
      <c r="F114" s="5">
        <v>20.6</v>
      </c>
      <c r="G114" s="5">
        <v>22.6</v>
      </c>
      <c r="H114" s="6" t="s">
        <v>60</v>
      </c>
      <c r="J114" s="1" t="s">
        <v>56</v>
      </c>
    </row>
    <row r="116" spans="1:10">
      <c r="A116" s="24" t="s">
        <v>52</v>
      </c>
      <c r="B116" s="25"/>
      <c r="C116" s="5"/>
      <c r="D116" s="5"/>
      <c r="E116" s="5">
        <v>50</v>
      </c>
      <c r="F116" s="5">
        <v>9</v>
      </c>
      <c r="G116" s="5">
        <v>11</v>
      </c>
      <c r="H116" s="6" t="s">
        <v>61</v>
      </c>
      <c r="J116" s="1" t="s">
        <v>56</v>
      </c>
    </row>
    <row r="117" spans="1:10">
      <c r="A117" s="21" t="s">
        <v>50</v>
      </c>
      <c r="B117" s="21"/>
      <c r="C117" s="5"/>
      <c r="D117" s="5"/>
      <c r="E117" s="5">
        <v>32</v>
      </c>
      <c r="F117" s="5">
        <v>12</v>
      </c>
      <c r="G117" s="5">
        <v>14</v>
      </c>
      <c r="H117" s="6" t="s">
        <v>51</v>
      </c>
      <c r="J117" s="1" t="s">
        <v>56</v>
      </c>
    </row>
    <row r="118" spans="1:10">
      <c r="A118" s="21" t="s">
        <v>70</v>
      </c>
      <c r="B118" s="21"/>
      <c r="C118" s="5"/>
      <c r="D118" s="5"/>
      <c r="E118" s="5">
        <v>100</v>
      </c>
      <c r="F118" s="5">
        <v>13</v>
      </c>
      <c r="G118" s="5">
        <v>13.9</v>
      </c>
      <c r="H118" s="6">
        <v>1.76</v>
      </c>
      <c r="J118" s="1" t="s">
        <v>55</v>
      </c>
    </row>
    <row r="119" spans="1:10">
      <c r="A119" s="21" t="s">
        <v>71</v>
      </c>
      <c r="B119" s="21"/>
      <c r="C119" s="5"/>
      <c r="D119" s="5"/>
      <c r="E119" s="5">
        <v>125</v>
      </c>
      <c r="F119" s="5">
        <v>16</v>
      </c>
      <c r="G119" s="5">
        <v>17.7</v>
      </c>
      <c r="H119" s="6">
        <v>4.75</v>
      </c>
      <c r="J119" s="1" t="s">
        <v>57</v>
      </c>
    </row>
    <row r="120" spans="1:10">
      <c r="A120" s="26" t="s">
        <v>72</v>
      </c>
      <c r="B120" s="21"/>
      <c r="C120" s="5"/>
      <c r="D120" s="5"/>
      <c r="E120" s="5">
        <v>125</v>
      </c>
      <c r="F120" s="5">
        <v>17</v>
      </c>
      <c r="G120" s="5">
        <v>18</v>
      </c>
      <c r="H120" s="6">
        <v>4.7300000000000004</v>
      </c>
      <c r="J120" s="1" t="s">
        <v>57</v>
      </c>
    </row>
    <row r="121" spans="1:10">
      <c r="A121" s="21" t="s">
        <v>74</v>
      </c>
      <c r="B121" s="21"/>
      <c r="C121" s="5"/>
      <c r="D121" s="5"/>
      <c r="E121" s="5">
        <v>100</v>
      </c>
      <c r="F121" s="5">
        <v>16</v>
      </c>
      <c r="G121" s="5">
        <v>18.2</v>
      </c>
      <c r="H121" s="6">
        <v>2.4300000000000002</v>
      </c>
      <c r="J121" s="1" t="s">
        <v>57</v>
      </c>
    </row>
    <row r="123" spans="1:10">
      <c r="A123" s="23" t="s">
        <v>73</v>
      </c>
      <c r="B123" s="30"/>
      <c r="C123" s="10"/>
      <c r="D123" s="11"/>
      <c r="E123" s="11">
        <v>500</v>
      </c>
      <c r="F123" s="11">
        <v>11</v>
      </c>
      <c r="G123" s="11">
        <v>12.75</v>
      </c>
      <c r="H123" s="12">
        <v>1.87</v>
      </c>
      <c r="J123" s="1" t="s">
        <v>54</v>
      </c>
    </row>
    <row r="124" spans="1:10">
      <c r="A124" s="29" t="s">
        <v>86</v>
      </c>
      <c r="B124" s="28"/>
      <c r="C124" s="5"/>
      <c r="D124" s="5"/>
      <c r="E124" s="5">
        <v>200</v>
      </c>
      <c r="F124" s="5">
        <v>8.1</v>
      </c>
      <c r="G124" s="5">
        <v>9.1</v>
      </c>
      <c r="H124" s="6">
        <v>1.85</v>
      </c>
    </row>
    <row r="125" spans="1:10">
      <c r="A125" s="27" t="s">
        <v>85</v>
      </c>
      <c r="B125" s="28"/>
      <c r="C125" s="5"/>
      <c r="D125" s="5"/>
      <c r="E125" s="5">
        <v>200</v>
      </c>
      <c r="F125" s="5">
        <v>4.5</v>
      </c>
      <c r="G125" s="5">
        <v>5</v>
      </c>
      <c r="H125" s="6">
        <v>1.85</v>
      </c>
    </row>
    <row r="127" spans="1:10">
      <c r="A127" s="21" t="s">
        <v>93</v>
      </c>
      <c r="B127" s="21"/>
      <c r="C127" s="5"/>
      <c r="D127" s="5"/>
      <c r="E127" s="5">
        <v>300</v>
      </c>
      <c r="F127" s="5">
        <v>8</v>
      </c>
      <c r="G127" s="5">
        <v>9</v>
      </c>
      <c r="H127" s="6">
        <v>1.2</v>
      </c>
    </row>
    <row r="129" spans="1:8">
      <c r="A129" s="21" t="s">
        <v>94</v>
      </c>
      <c r="B129" s="21"/>
      <c r="C129" s="5"/>
      <c r="D129" s="5"/>
      <c r="E129" s="5">
        <v>400</v>
      </c>
      <c r="F129" s="5">
        <v>7</v>
      </c>
      <c r="G129" s="5">
        <v>8</v>
      </c>
      <c r="H129" s="6">
        <v>1.2</v>
      </c>
    </row>
    <row r="131" spans="1:8">
      <c r="A131" s="26" t="s">
        <v>96</v>
      </c>
      <c r="B131" s="21"/>
      <c r="E131" s="4">
        <v>500</v>
      </c>
      <c r="F131" s="3">
        <v>14.5</v>
      </c>
      <c r="G131" s="3">
        <v>17</v>
      </c>
      <c r="H131" s="3" t="s">
        <v>95</v>
      </c>
    </row>
    <row r="133" spans="1:8">
      <c r="A133" s="15" t="s">
        <v>97</v>
      </c>
      <c r="E133" s="16">
        <v>500</v>
      </c>
      <c r="F133" s="17">
        <v>4</v>
      </c>
      <c r="G133" s="17">
        <v>4.5</v>
      </c>
      <c r="H133" s="18">
        <v>1.95</v>
      </c>
    </row>
    <row r="135" spans="1:8">
      <c r="A135" s="19" t="s">
        <v>98</v>
      </c>
      <c r="E135" s="16">
        <v>500</v>
      </c>
      <c r="F135" s="17">
        <v>4</v>
      </c>
      <c r="G135" s="17">
        <v>4.5</v>
      </c>
      <c r="H135" s="18">
        <v>1.95</v>
      </c>
    </row>
    <row r="137" spans="1:8">
      <c r="A137" s="15" t="s">
        <v>99</v>
      </c>
      <c r="E137" s="16">
        <v>500</v>
      </c>
      <c r="F137" s="17">
        <v>4</v>
      </c>
      <c r="G137" s="17">
        <v>4.5</v>
      </c>
      <c r="H137" s="18">
        <v>1.95</v>
      </c>
    </row>
    <row r="139" spans="1:8">
      <c r="A139" s="21" t="s">
        <v>100</v>
      </c>
      <c r="B139" s="21"/>
      <c r="C139" s="5"/>
      <c r="D139" s="5"/>
      <c r="E139" s="5">
        <v>120</v>
      </c>
      <c r="F139" s="5">
        <v>10</v>
      </c>
      <c r="G139" s="5">
        <v>11</v>
      </c>
      <c r="H139" s="6">
        <v>1.2</v>
      </c>
    </row>
  </sheetData>
  <mergeCells count="102">
    <mergeCell ref="A139:B139"/>
    <mergeCell ref="A109:B109"/>
    <mergeCell ref="A118:B118"/>
    <mergeCell ref="A107:B107"/>
    <mergeCell ref="A81:B81"/>
    <mergeCell ref="A79:B79"/>
    <mergeCell ref="A131:B131"/>
    <mergeCell ref="A119:B119"/>
    <mergeCell ref="A129:B129"/>
    <mergeCell ref="A74:B74"/>
    <mergeCell ref="A75:B75"/>
    <mergeCell ref="A127:B127"/>
    <mergeCell ref="A77:B77"/>
    <mergeCell ref="A78:B78"/>
    <mergeCell ref="A80:B80"/>
    <mergeCell ref="A82:B82"/>
    <mergeCell ref="A111:B111"/>
    <mergeCell ref="A113:B113"/>
    <mergeCell ref="A100:B100"/>
    <mergeCell ref="A125:B125"/>
    <mergeCell ref="A121:B121"/>
    <mergeCell ref="A120:B120"/>
    <mergeCell ref="A124:B124"/>
    <mergeCell ref="A123:B123"/>
    <mergeCell ref="A116:B116"/>
    <mergeCell ref="A117:B117"/>
    <mergeCell ref="A114:B114"/>
    <mergeCell ref="A48:B48"/>
    <mergeCell ref="A67:B67"/>
    <mergeCell ref="A68:B68"/>
    <mergeCell ref="A71:B71"/>
    <mergeCell ref="A72:B72"/>
    <mergeCell ref="A73:B73"/>
    <mergeCell ref="A101:B101"/>
    <mergeCell ref="A103:B103"/>
    <mergeCell ref="A105:B105"/>
    <mergeCell ref="A52:B52"/>
    <mergeCell ref="A76:B76"/>
    <mergeCell ref="A54:B54"/>
    <mergeCell ref="A55:B55"/>
    <mergeCell ref="A58:B58"/>
    <mergeCell ref="A59:B59"/>
    <mergeCell ref="A60:B60"/>
    <mergeCell ref="A66:B66"/>
    <mergeCell ref="A69:B69"/>
    <mergeCell ref="A70:B70"/>
    <mergeCell ref="A61:B61"/>
    <mergeCell ref="A62:B62"/>
    <mergeCell ref="A63:B63"/>
    <mergeCell ref="A3:B3"/>
    <mergeCell ref="A5:B5"/>
    <mergeCell ref="A6:B6"/>
    <mergeCell ref="A36:B3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21:B21"/>
    <mergeCell ref="A34:B34"/>
    <mergeCell ref="A35:B35"/>
    <mergeCell ref="A4:B4"/>
    <mergeCell ref="A19:B19"/>
    <mergeCell ref="A20:B20"/>
    <mergeCell ref="A32:B32"/>
    <mergeCell ref="A33:B33"/>
    <mergeCell ref="A64:B64"/>
    <mergeCell ref="A65:B65"/>
    <mergeCell ref="A56:B56"/>
    <mergeCell ref="A57:B57"/>
    <mergeCell ref="A53:B53"/>
    <mergeCell ref="A47:B47"/>
    <mergeCell ref="A49:B49"/>
    <mergeCell ref="A51:B51"/>
    <mergeCell ref="A38:B38"/>
    <mergeCell ref="A50:B50"/>
    <mergeCell ref="A46:B46"/>
    <mergeCell ref="A22:B22"/>
    <mergeCell ref="A23:B23"/>
    <mergeCell ref="A24:B24"/>
    <mergeCell ref="A25:B25"/>
    <mergeCell ref="A26:B26"/>
    <mergeCell ref="A30:B30"/>
    <mergeCell ref="A31:B31"/>
    <mergeCell ref="A45:B45"/>
    <mergeCell ref="A43:B43"/>
    <mergeCell ref="A40:B40"/>
    <mergeCell ref="A42:B42"/>
    <mergeCell ref="A44:B44"/>
    <mergeCell ref="A37:B37"/>
    <mergeCell ref="A39:B39"/>
    <mergeCell ref="A41:B41"/>
    <mergeCell ref="A27:B27"/>
    <mergeCell ref="A28:B28"/>
    <mergeCell ref="A29:B2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韋頡 李</dc:creator>
  <cp:lastModifiedBy>韋頡 李</cp:lastModifiedBy>
  <dcterms:created xsi:type="dcterms:W3CDTF">2024-02-16T08:36:52Z</dcterms:created>
  <dcterms:modified xsi:type="dcterms:W3CDTF">2026-06-08T00:54:21Z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2024-04-29T00:51:33Z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813db44b-4fc7-4365-b154-d2696095fc94</vt:lpwstr>
  </property>
  <property fmtid="{D5CDD505-2E9C-101B-9397-08002B2CF9AE}" pid="7" name="MSIP_Label_defa4170-0d19-0005-0004-bc88714345d2_ActionId">
    <vt:lpwstr>4df15a3b-8e4f-41c7-a1b3-f6c9d9eb0b3f</vt:lpwstr>
  </property>
  <property fmtid="{D5CDD505-2E9C-101B-9397-08002B2CF9AE}" pid="8" name="MSIP_Label_defa4170-0d19-0005-0004-bc88714345d2_ContentBits">
    <vt:lpwstr>0</vt:lpwstr>
  </property>
</Properties>
</file>