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user\Desktop\GUIDANCE Worksheet\2026 Q2\"/>
    </mc:Choice>
  </mc:AlternateContent>
  <xr:revisionPtr revIDLastSave="0" documentId="13_ncr:1_{94EA79BF-8338-4894-A8A4-D0E72F97FDA6}" xr6:coauthVersionLast="47" xr6:coauthVersionMax="47" xr10:uidLastSave="{00000000-0000-0000-0000-000000000000}"/>
  <bookViews>
    <workbookView xWindow="-120" yWindow="-120" windowWidth="29040" windowHeight="15720" xr2:uid="{92582D81-AA17-4F21-9F4E-4D5EA862C7AD}"/>
  </bookViews>
  <sheets>
    <sheet name="實際庫存-生產結餘 " sheetId="3" r:id="rId1"/>
  </sheets>
  <definedNames>
    <definedName name="_xlnm._FilterDatabase" localSheetId="0" hidden="1">'實際庫存-生產結餘 '!$A$4:$AG$4</definedName>
    <definedName name="_xlnm.Print_Area" localSheetId="0">'實際庫存-生產結餘 '!$A$1:$AC$144</definedName>
    <definedName name="_xlnm.Print_Titles" localSheetId="0">'實際庫存-生產結餘 '!$1:$4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14" i="3" l="1"/>
  <c r="AA114" i="3" s="1"/>
  <c r="Z123" i="3"/>
  <c r="AA123" i="3" s="1"/>
  <c r="Z122" i="3"/>
  <c r="AA122" i="3" s="1"/>
  <c r="Z60" i="3"/>
  <c r="AA60" i="3" s="1"/>
  <c r="AC60" i="3" s="1"/>
  <c r="Z32" i="3"/>
  <c r="Z33" i="3"/>
  <c r="Z34" i="3"/>
  <c r="Z35" i="3"/>
  <c r="Z36" i="3"/>
  <c r="Z37" i="3"/>
  <c r="Z38" i="3"/>
  <c r="Z39" i="3"/>
  <c r="Z40" i="3"/>
  <c r="Z41" i="3"/>
  <c r="Z42" i="3"/>
  <c r="Z43" i="3"/>
  <c r="AA43" i="3" s="1"/>
  <c r="AC43" i="3" s="1"/>
  <c r="Z44" i="3"/>
  <c r="Z45" i="3"/>
  <c r="Z46" i="3"/>
  <c r="Z47" i="3"/>
  <c r="Z48" i="3"/>
  <c r="Z49" i="3"/>
  <c r="Z50" i="3"/>
  <c r="Z51" i="3"/>
  <c r="Z52" i="3"/>
  <c r="Z53" i="3"/>
  <c r="Z54" i="3"/>
  <c r="Z55" i="3"/>
  <c r="Z56" i="3"/>
  <c r="Z57" i="3"/>
  <c r="Z58" i="3"/>
  <c r="Z59" i="3"/>
  <c r="Z61" i="3"/>
  <c r="Z62" i="3"/>
  <c r="Z63" i="3"/>
  <c r="Z64" i="3"/>
  <c r="Z65" i="3"/>
  <c r="Z66" i="3"/>
  <c r="Z67" i="3"/>
  <c r="Z68" i="3"/>
  <c r="Z69" i="3"/>
  <c r="Z70" i="3"/>
  <c r="Z71" i="3"/>
  <c r="Z72" i="3"/>
  <c r="Z73" i="3"/>
  <c r="Z74" i="3"/>
  <c r="Z75" i="3"/>
  <c r="Z76" i="3"/>
  <c r="AA76" i="3" s="1"/>
  <c r="AF76" i="3" s="1"/>
  <c r="Z77" i="3"/>
  <c r="Z78" i="3"/>
  <c r="Z79" i="3"/>
  <c r="Z80" i="3"/>
  <c r="Z81" i="3"/>
  <c r="Z82" i="3"/>
  <c r="Z83" i="3"/>
  <c r="Z84" i="3"/>
  <c r="Z85" i="3"/>
  <c r="Z86" i="3"/>
  <c r="Z87" i="3"/>
  <c r="Z88" i="3"/>
  <c r="AA88" i="3" s="1"/>
  <c r="AF88" i="3" s="1"/>
  <c r="Z89" i="3"/>
  <c r="AA89" i="3" s="1"/>
  <c r="AF89" i="3" s="1"/>
  <c r="Z90" i="3"/>
  <c r="Z91" i="3"/>
  <c r="AA91" i="3" s="1"/>
  <c r="AC91" i="3" s="1"/>
  <c r="Z92" i="3"/>
  <c r="Z93" i="3"/>
  <c r="Z94" i="3"/>
  <c r="Z95" i="3"/>
  <c r="Z96" i="3"/>
  <c r="Z97" i="3"/>
  <c r="Z98" i="3"/>
  <c r="Z99" i="3"/>
  <c r="Z100" i="3"/>
  <c r="Z101" i="3"/>
  <c r="Z102" i="3"/>
  <c r="Z103" i="3"/>
  <c r="Z104" i="3"/>
  <c r="Z105" i="3"/>
  <c r="Z106" i="3"/>
  <c r="Z107" i="3"/>
  <c r="Z108" i="3"/>
  <c r="Z109" i="3"/>
  <c r="Z110" i="3"/>
  <c r="Z111" i="3"/>
  <c r="Z112" i="3"/>
  <c r="Z113" i="3"/>
  <c r="Z115" i="3"/>
  <c r="Z116" i="3"/>
  <c r="Z117" i="3"/>
  <c r="Z118" i="3"/>
  <c r="Z119" i="3"/>
  <c r="Z120" i="3"/>
  <c r="Z121" i="3"/>
  <c r="AA121" i="3" s="1"/>
  <c r="AC121" i="3" s="1"/>
  <c r="Z124" i="3"/>
  <c r="AA124" i="3" s="1"/>
  <c r="Z125" i="3"/>
  <c r="Z126" i="3"/>
  <c r="Z127" i="3"/>
  <c r="Z128" i="3"/>
  <c r="Z129" i="3"/>
  <c r="Z130" i="3"/>
  <c r="Z131" i="3"/>
  <c r="Z132" i="3"/>
  <c r="Z133" i="3"/>
  <c r="Z134" i="3"/>
  <c r="Z135" i="3"/>
  <c r="Z136" i="3"/>
  <c r="Z137" i="3"/>
  <c r="Z138" i="3"/>
  <c r="Z139" i="3"/>
  <c r="Z140" i="3"/>
  <c r="Z141" i="3"/>
  <c r="Z142" i="3"/>
  <c r="Z143" i="3"/>
  <c r="Z31" i="3"/>
  <c r="AA31" i="3" s="1"/>
  <c r="AC114" i="3" l="1"/>
  <c r="AF114" i="3"/>
  <c r="AC123" i="3"/>
  <c r="AF123" i="3"/>
  <c r="AC122" i="3"/>
  <c r="AF122" i="3"/>
  <c r="AC31" i="3"/>
  <c r="AF31" i="3"/>
  <c r="AF60" i="3"/>
  <c r="AF121" i="3"/>
  <c r="AC124" i="3"/>
  <c r="AF124" i="3"/>
  <c r="AC76" i="3"/>
  <c r="AF91" i="3"/>
  <c r="AF43" i="3"/>
  <c r="AC89" i="3"/>
  <c r="AC88" i="3"/>
  <c r="AA87" i="3"/>
  <c r="AF87" i="3" s="1"/>
  <c r="AA37" i="3"/>
  <c r="AF37" i="3" s="1"/>
  <c r="Z8" i="3"/>
  <c r="AA8" i="3" s="1"/>
  <c r="Z15" i="3"/>
  <c r="AA15" i="3" s="1"/>
  <c r="AA34" i="3"/>
  <c r="AF34" i="3" s="1"/>
  <c r="Z6" i="3"/>
  <c r="AA6" i="3" s="1"/>
  <c r="AF6" i="3" s="1"/>
  <c r="AA33" i="3"/>
  <c r="AF33" i="3" s="1"/>
  <c r="AA36" i="3"/>
  <c r="AF36" i="3" s="1"/>
  <c r="AA41" i="3"/>
  <c r="AF41" i="3" s="1"/>
  <c r="AA55" i="3"/>
  <c r="AF55" i="3" s="1"/>
  <c r="AA79" i="3"/>
  <c r="AF79" i="3" s="1"/>
  <c r="AA46" i="3"/>
  <c r="AF46" i="3" s="1"/>
  <c r="AA127" i="3"/>
  <c r="AF127" i="3" s="1"/>
  <c r="AA106" i="3"/>
  <c r="AF106" i="3" s="1"/>
  <c r="AA107" i="3"/>
  <c r="AF107" i="3" s="1"/>
  <c r="AA32" i="3"/>
  <c r="AF32" i="3" s="1"/>
  <c r="AA44" i="3"/>
  <c r="AF44" i="3" s="1"/>
  <c r="AA68" i="3"/>
  <c r="AF68" i="3" s="1"/>
  <c r="AA129" i="3"/>
  <c r="AF129" i="3" s="1"/>
  <c r="AA100" i="3"/>
  <c r="AF100" i="3" s="1"/>
  <c r="AA101" i="3"/>
  <c r="AF101" i="3" s="1"/>
  <c r="AA97" i="3"/>
  <c r="AF97" i="3" s="1"/>
  <c r="AA94" i="3"/>
  <c r="AF94" i="3" s="1"/>
  <c r="AA96" i="3"/>
  <c r="AF96" i="3" s="1"/>
  <c r="Z27" i="3"/>
  <c r="AA27" i="3" s="1"/>
  <c r="AF27" i="3" s="1"/>
  <c r="Z10" i="3"/>
  <c r="AA10" i="3" s="1"/>
  <c r="AC10" i="3" s="1"/>
  <c r="AA47" i="3"/>
  <c r="AA54" i="3"/>
  <c r="AF54" i="3" s="1"/>
  <c r="Z13" i="3"/>
  <c r="AA13" i="3" s="1"/>
  <c r="AF13" i="3" s="1"/>
  <c r="Z14" i="3"/>
  <c r="AA14" i="3" s="1"/>
  <c r="AF14" i="3" s="1"/>
  <c r="Z20" i="3"/>
  <c r="AA20" i="3" s="1"/>
  <c r="AF20" i="3" s="1"/>
  <c r="Z16" i="3"/>
  <c r="AA16" i="3" s="1"/>
  <c r="AF16" i="3" s="1"/>
  <c r="Z17" i="3"/>
  <c r="AA17" i="3" s="1"/>
  <c r="AF17" i="3" s="1"/>
  <c r="Z18" i="3"/>
  <c r="AA18" i="3" s="1"/>
  <c r="Z21" i="3"/>
  <c r="AA21" i="3" s="1"/>
  <c r="AF21" i="3" s="1"/>
  <c r="Z19" i="3"/>
  <c r="AA19" i="3" s="1"/>
  <c r="Z24" i="3"/>
  <c r="AA24" i="3" s="1"/>
  <c r="AF24" i="3" s="1"/>
  <c r="Z25" i="3"/>
  <c r="AA25" i="3" s="1"/>
  <c r="AF25" i="3" s="1"/>
  <c r="Z22" i="3"/>
  <c r="AA22" i="3" s="1"/>
  <c r="AF22" i="3" s="1"/>
  <c r="Z23" i="3"/>
  <c r="AA23" i="3" s="1"/>
  <c r="Z28" i="3"/>
  <c r="AA28" i="3" s="1"/>
  <c r="AA35" i="3"/>
  <c r="AF35" i="3" s="1"/>
  <c r="AA38" i="3"/>
  <c r="AF38" i="3" s="1"/>
  <c r="AA39" i="3"/>
  <c r="AF39" i="3" s="1"/>
  <c r="AA45" i="3"/>
  <c r="AF45" i="3" s="1"/>
  <c r="AA48" i="3"/>
  <c r="AF48" i="3" s="1"/>
  <c r="AA49" i="3"/>
  <c r="AF49" i="3" s="1"/>
  <c r="AA56" i="3"/>
  <c r="AF56" i="3" s="1"/>
  <c r="AA57" i="3"/>
  <c r="AF57" i="3" s="1"/>
  <c r="AA58" i="3"/>
  <c r="AF58" i="3" s="1"/>
  <c r="AA59" i="3"/>
  <c r="AF59" i="3" s="1"/>
  <c r="AA61" i="3"/>
  <c r="AF61" i="3" s="1"/>
  <c r="AA63" i="3"/>
  <c r="AF63" i="3" s="1"/>
  <c r="AA64" i="3"/>
  <c r="AF64" i="3" s="1"/>
  <c r="AA65" i="3"/>
  <c r="AF65" i="3" s="1"/>
  <c r="AA66" i="3"/>
  <c r="AF66" i="3" s="1"/>
  <c r="AA67" i="3"/>
  <c r="AA69" i="3"/>
  <c r="AF69" i="3" s="1"/>
  <c r="AA70" i="3"/>
  <c r="AF70" i="3" s="1"/>
  <c r="AA71" i="3"/>
  <c r="AA72" i="3"/>
  <c r="AA73" i="3"/>
  <c r="AF73" i="3" s="1"/>
  <c r="AA74" i="3"/>
  <c r="AA75" i="3"/>
  <c r="AF75" i="3" s="1"/>
  <c r="AA77" i="3"/>
  <c r="AF77" i="3" s="1"/>
  <c r="AA78" i="3"/>
  <c r="AF78" i="3" s="1"/>
  <c r="AA80" i="3"/>
  <c r="AF80" i="3" s="1"/>
  <c r="AA81" i="3"/>
  <c r="AF81" i="3" s="1"/>
  <c r="AA82" i="3"/>
  <c r="AA83" i="3"/>
  <c r="AF83" i="3" s="1"/>
  <c r="AA84" i="3"/>
  <c r="AF84" i="3" s="1"/>
  <c r="AA85" i="3"/>
  <c r="AF85" i="3" s="1"/>
  <c r="AA86" i="3"/>
  <c r="AF86" i="3" s="1"/>
  <c r="AA90" i="3"/>
  <c r="AF90" i="3" s="1"/>
  <c r="AA95" i="3"/>
  <c r="AA93" i="3"/>
  <c r="AF93" i="3" s="1"/>
  <c r="AA99" i="3"/>
  <c r="AF99" i="3" s="1"/>
  <c r="AA102" i="3"/>
  <c r="AF102" i="3" s="1"/>
  <c r="AA103" i="3"/>
  <c r="AF103" i="3" s="1"/>
  <c r="AA104" i="3"/>
  <c r="AF104" i="3" s="1"/>
  <c r="AA105" i="3"/>
  <c r="AA108" i="3"/>
  <c r="AF108" i="3" s="1"/>
  <c r="AA109" i="3"/>
  <c r="AF109" i="3" s="1"/>
  <c r="AA110" i="3"/>
  <c r="AF110" i="3" s="1"/>
  <c r="AA111" i="3"/>
  <c r="AA117" i="3"/>
  <c r="AF117" i="3" s="1"/>
  <c r="AA118" i="3"/>
  <c r="AF118" i="3" s="1"/>
  <c r="AA119" i="3"/>
  <c r="AF119" i="3" s="1"/>
  <c r="AA115" i="3"/>
  <c r="AF115" i="3" s="1"/>
  <c r="AA116" i="3"/>
  <c r="AF116" i="3" s="1"/>
  <c r="AA120" i="3"/>
  <c r="AF120" i="3" s="1"/>
  <c r="AA125" i="3"/>
  <c r="AF125" i="3" s="1"/>
  <c r="AA126" i="3"/>
  <c r="AF126" i="3" s="1"/>
  <c r="AA128" i="3"/>
  <c r="AF128" i="3" s="1"/>
  <c r="AA130" i="3"/>
  <c r="AF130" i="3" s="1"/>
  <c r="AA131" i="3"/>
  <c r="AF131" i="3" s="1"/>
  <c r="AA132" i="3"/>
  <c r="AA133" i="3"/>
  <c r="AF133" i="3" s="1"/>
  <c r="Z26" i="3"/>
  <c r="AA26" i="3" s="1"/>
  <c r="AA137" i="3"/>
  <c r="AF137" i="3" s="1"/>
  <c r="AA113" i="3"/>
  <c r="AF113" i="3" s="1"/>
  <c r="AA134" i="3"/>
  <c r="AF134" i="3" s="1"/>
  <c r="AA135" i="3"/>
  <c r="AF135" i="3" s="1"/>
  <c r="AA136" i="3"/>
  <c r="AF136" i="3" s="1"/>
  <c r="AA138" i="3"/>
  <c r="AF138" i="3" s="1"/>
  <c r="Z5" i="3"/>
  <c r="AA5" i="3" s="1"/>
  <c r="AC5" i="3" s="1"/>
  <c r="AA139" i="3"/>
  <c r="AF139" i="3" s="1"/>
  <c r="AA52" i="3"/>
  <c r="AA141" i="3"/>
  <c r="AF141" i="3" s="1"/>
  <c r="AA142" i="3"/>
  <c r="Z29" i="3"/>
  <c r="AA29" i="3" s="1"/>
  <c r="AF29" i="3" s="1"/>
  <c r="Z30" i="3"/>
  <c r="AA30" i="3" s="1"/>
  <c r="AF30" i="3" s="1"/>
  <c r="Z11" i="3"/>
  <c r="AA11" i="3" s="1"/>
  <c r="AF11" i="3" s="1"/>
  <c r="Z7" i="3"/>
  <c r="AA7" i="3" s="1"/>
  <c r="AA40" i="3"/>
  <c r="AF40" i="3" s="1"/>
  <c r="AA51" i="3"/>
  <c r="AA50" i="3"/>
  <c r="AF50" i="3" s="1"/>
  <c r="Z9" i="3"/>
  <c r="AA9" i="3" s="1"/>
  <c r="Z12" i="3"/>
  <c r="AA12" i="3" s="1"/>
  <c r="AA98" i="3"/>
  <c r="AF98" i="3" s="1"/>
  <c r="AA62" i="3"/>
  <c r="AF62" i="3" s="1"/>
  <c r="AA140" i="3"/>
  <c r="AF140" i="3" s="1"/>
  <c r="AA112" i="3"/>
  <c r="AF112" i="3" s="1"/>
  <c r="AA143" i="3"/>
  <c r="AF143" i="3" s="1"/>
  <c r="Z144" i="3"/>
  <c r="AA144" i="3" s="1"/>
  <c r="AA53" i="3"/>
  <c r="AF53" i="3" s="1"/>
  <c r="AA42" i="3"/>
  <c r="AA92" i="3"/>
  <c r="AF92" i="3" s="1"/>
  <c r="AC28" i="3" l="1"/>
  <c r="AF28" i="3"/>
  <c r="AC111" i="3"/>
  <c r="AF111" i="3"/>
  <c r="AC51" i="3"/>
  <c r="AF51" i="3"/>
  <c r="AC15" i="3"/>
  <c r="AF15" i="3"/>
  <c r="AC23" i="3"/>
  <c r="AF23" i="3"/>
  <c r="AC18" i="3"/>
  <c r="AF18" i="3"/>
  <c r="AC19" i="3"/>
  <c r="AF19" i="3"/>
  <c r="AC67" i="3"/>
  <c r="AF67" i="3"/>
  <c r="AC12" i="3"/>
  <c r="AF12" i="3"/>
  <c r="AC82" i="3"/>
  <c r="AF82" i="3"/>
  <c r="AC74" i="3"/>
  <c r="AF74" i="3"/>
  <c r="AC26" i="3"/>
  <c r="AF26" i="3"/>
  <c r="AC132" i="3"/>
  <c r="AF132" i="3"/>
  <c r="AC52" i="3"/>
  <c r="AF52" i="3"/>
  <c r="AC71" i="3"/>
  <c r="AF71" i="3"/>
  <c r="AC42" i="3"/>
  <c r="AF42" i="3"/>
  <c r="AC142" i="3"/>
  <c r="AF142" i="3"/>
  <c r="AC95" i="3"/>
  <c r="AF95" i="3"/>
  <c r="AC47" i="3"/>
  <c r="AF47" i="3"/>
  <c r="AC105" i="3"/>
  <c r="AF105" i="3"/>
  <c r="AC72" i="3"/>
  <c r="AF72" i="3"/>
  <c r="AC69" i="3"/>
  <c r="AC37" i="3"/>
  <c r="AC35" i="3"/>
  <c r="AC106" i="3"/>
  <c r="AC33" i="3"/>
  <c r="AC29" i="3"/>
  <c r="AC141" i="3"/>
  <c r="AC137" i="3"/>
  <c r="AC139" i="3"/>
  <c r="AC143" i="3"/>
  <c r="AC138" i="3"/>
  <c r="AC34" i="3"/>
  <c r="AC32" i="3"/>
  <c r="AC134" i="3"/>
  <c r="AC129" i="3"/>
  <c r="AC113" i="3"/>
  <c r="AC102" i="3"/>
  <c r="AC62" i="3"/>
  <c r="AC54" i="3"/>
  <c r="AC50" i="3"/>
  <c r="AC127" i="3"/>
  <c r="AC83" i="3"/>
  <c r="AC56" i="3"/>
  <c r="AC45" i="3"/>
  <c r="AC116" i="3"/>
  <c r="AC103" i="3"/>
  <c r="AC117" i="3"/>
  <c r="AC61" i="3"/>
  <c r="AC24" i="3"/>
  <c r="AC30" i="3"/>
  <c r="AC96" i="3"/>
  <c r="AC133" i="3"/>
  <c r="AC38" i="3"/>
  <c r="AC131" i="3"/>
  <c r="AC110" i="3"/>
  <c r="AF10" i="3"/>
  <c r="AF5" i="3"/>
  <c r="AC11" i="3"/>
  <c r="AC107" i="3"/>
  <c r="AC46" i="3"/>
  <c r="AC41" i="3"/>
  <c r="AC6" i="3"/>
  <c r="AF8" i="3"/>
  <c r="AC8" i="3"/>
  <c r="AC92" i="3"/>
  <c r="AC66" i="3"/>
  <c r="AC70" i="3"/>
  <c r="AC78" i="3"/>
  <c r="AC65" i="3"/>
  <c r="AC77" i="3"/>
  <c r="AC20" i="3"/>
  <c r="AC75" i="3"/>
  <c r="AC16" i="3"/>
  <c r="AC13" i="3"/>
  <c r="AC119" i="3"/>
  <c r="AC130" i="3"/>
  <c r="AC27" i="3"/>
  <c r="AC22" i="3"/>
  <c r="AF144" i="3"/>
  <c r="AC144" i="3"/>
  <c r="AC9" i="3"/>
  <c r="AF9" i="3"/>
  <c r="AC125" i="3"/>
  <c r="AC21" i="3"/>
  <c r="AC40" i="3"/>
  <c r="AC120" i="3"/>
  <c r="AC86" i="3"/>
  <c r="AC140" i="3"/>
  <c r="AC99" i="3"/>
  <c r="AC90" i="3"/>
  <c r="AC64" i="3"/>
  <c r="AC94" i="3"/>
  <c r="AC100" i="3"/>
  <c r="AC68" i="3"/>
  <c r="AC55" i="3"/>
  <c r="AC57" i="3"/>
  <c r="AC53" i="3"/>
  <c r="AC118" i="3"/>
  <c r="AC115" i="3"/>
  <c r="AC108" i="3"/>
  <c r="AC81" i="3"/>
  <c r="AC73" i="3"/>
  <c r="AC59" i="3"/>
  <c r="AC25" i="3"/>
  <c r="AC48" i="3"/>
  <c r="AC104" i="3"/>
  <c r="AC136" i="3"/>
  <c r="AC128" i="3"/>
  <c r="AC93" i="3"/>
  <c r="AC63" i="3"/>
  <c r="AC101" i="3"/>
  <c r="AC44" i="3"/>
  <c r="AC36" i="3"/>
  <c r="AC17" i="3"/>
  <c r="AC14" i="3"/>
  <c r="AC79" i="3"/>
  <c r="AC84" i="3"/>
  <c r="AC97" i="3"/>
  <c r="AC112" i="3"/>
  <c r="AC98" i="3"/>
  <c r="AF7" i="3"/>
  <c r="AC7" i="3"/>
  <c r="AC135" i="3"/>
  <c r="AC126" i="3"/>
  <c r="AC109" i="3"/>
  <c r="AC85" i="3"/>
  <c r="AC80" i="3"/>
  <c r="AC58" i="3"/>
  <c r="AC49" i="3"/>
  <c r="AC39" i="3"/>
  <c r="AC8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1" authorId="0" shapeId="0" xr:uid="{06978F2C-9CF7-44A9-835E-7743B77A6D01}">
      <text>
        <r>
          <rPr>
            <b/>
            <sz val="9"/>
            <color indexed="81"/>
            <rFont val="Tahoma"/>
            <family val="2"/>
          </rPr>
          <t>2023-10-13 Mail
Can these parts stay at Songtech?  Part No. 100047188 UWX1E101MCL1GB is an obsolete component and this part is an approved replacement for it so we will need it in the future for production.  It will be many months before it will be used though.</t>
        </r>
        <r>
          <rPr>
            <sz val="9"/>
            <color indexed="81"/>
            <rFont val="Tahoma"/>
            <family val="2"/>
          </rPr>
          <t xml:space="preserve">
</t>
        </r>
      </text>
    </comment>
  </commentList>
</comments>
</file>

<file path=xl/sharedStrings.xml><?xml version="1.0" encoding="utf-8"?>
<sst xmlns="http://schemas.openxmlformats.org/spreadsheetml/2006/main" count="374" uniqueCount="373">
  <si>
    <t>consign invoic</t>
    <phoneticPr fontId="1" type="noConversion"/>
  </si>
  <si>
    <t>NO:</t>
    <phoneticPr fontId="1" type="noConversion"/>
  </si>
  <si>
    <t>Parts No/Parts Description</t>
    <phoneticPr fontId="1" type="noConversion"/>
  </si>
  <si>
    <t>NO</t>
    <phoneticPr fontId="1" type="noConversion"/>
  </si>
  <si>
    <t>實際庫存總和         (辰尚+庚霖)</t>
    <phoneticPr fontId="1" type="noConversion"/>
  </si>
  <si>
    <r>
      <t xml:space="preserve">NG+LOSS                         </t>
    </r>
    <r>
      <rPr>
        <b/>
        <sz val="11"/>
        <rFont val="Calibri"/>
        <family val="2"/>
      </rPr>
      <t xml:space="preserve">  (</t>
    </r>
    <r>
      <rPr>
        <b/>
        <sz val="11"/>
        <color indexed="17"/>
        <rFont val="細明體"/>
        <family val="3"/>
        <charset val="136"/>
      </rPr>
      <t>總和</t>
    </r>
    <r>
      <rPr>
        <b/>
        <sz val="11"/>
        <rFont val="Calibri"/>
        <family val="2"/>
      </rPr>
      <t>-</t>
    </r>
    <r>
      <rPr>
        <b/>
        <sz val="11"/>
        <color indexed="12"/>
        <rFont val="細明體"/>
        <family val="3"/>
        <charset val="136"/>
      </rPr>
      <t>結餘</t>
    </r>
    <r>
      <rPr>
        <b/>
        <sz val="11"/>
        <rFont val="Calibri"/>
        <family val="2"/>
      </rPr>
      <t>)</t>
    </r>
    <phoneticPr fontId="1" type="noConversion"/>
  </si>
  <si>
    <t>給客人資料       (已扣NG..)            Remaining</t>
    <phoneticPr fontId="1" type="noConversion"/>
  </si>
  <si>
    <t>EC-20172A-TAB</t>
  </si>
  <si>
    <t>EC-60033A-TAB</t>
  </si>
  <si>
    <t>IC-TPS259541DSG-TAB</t>
  </si>
  <si>
    <t>IC-USB3300-EZK-TR-TAB</t>
  </si>
  <si>
    <t>3M 38204-52S3-000-PL</t>
  </si>
  <si>
    <t>9FGV0641AKLFT (20150414 NEW)</t>
  </si>
  <si>
    <t>AP2192ASG-13</t>
  </si>
  <si>
    <t>FDS4935BZ</t>
  </si>
  <si>
    <t>HI0805R800R-10</t>
  </si>
  <si>
    <t>TLV70212DBVR (20151118 NEW)</t>
  </si>
  <si>
    <t>XC2C32A-6VQG44C</t>
  </si>
  <si>
    <t>XIO2213B-ZAY</t>
  </si>
  <si>
    <t>T356789IU_MEMBRANE-TAB2 (Open text logo)</t>
  </si>
  <si>
    <t>T6U_MEMBRANE (Opentext logo)</t>
  </si>
  <si>
    <t>T356789iu_Membrane-MHS</t>
  </si>
  <si>
    <t>T356789IU+LCD_MEMBRANE-DI (Open text logo)</t>
  </si>
  <si>
    <t>T8U_MEMBRANE (Opentext logo)</t>
  </si>
  <si>
    <t>T7U_MEMBRANE (Opentext logo)</t>
  </si>
  <si>
    <t>T356789IU_LCD-MODULE</t>
  </si>
  <si>
    <t>TDA7-7 _Connector</t>
  </si>
  <si>
    <t>辰尚庫存</t>
    <phoneticPr fontId="1" type="noConversion"/>
  </si>
  <si>
    <t>ESD7104MUTAG</t>
  </si>
  <si>
    <t>庚霖庫存
當下實際</t>
    <phoneticPr fontId="1" type="noConversion"/>
  </si>
  <si>
    <t>庚霖庫存
返加</t>
    <phoneticPr fontId="1" type="noConversion"/>
  </si>
  <si>
    <t>IC-XC7K70T-1FBG484I-TAB</t>
    <phoneticPr fontId="1" type="noConversion"/>
  </si>
  <si>
    <t>IC-STM32F031C4T6-TAB</t>
    <phoneticPr fontId="1" type="noConversion"/>
  </si>
  <si>
    <t>IC-XC2C32-6VQ44C-TAB</t>
    <phoneticPr fontId="1" type="noConversion"/>
  </si>
  <si>
    <t>EC-30057A-TAB</t>
    <phoneticPr fontId="1" type="noConversion"/>
  </si>
  <si>
    <t>EC-30060A-TAB</t>
    <phoneticPr fontId="1" type="noConversion"/>
  </si>
  <si>
    <t>EC-30061A-TAB</t>
    <phoneticPr fontId="1" type="noConversion"/>
  </si>
  <si>
    <t>UC-M0004A-TAB</t>
    <phoneticPr fontId="1" type="noConversion"/>
  </si>
  <si>
    <t>IC-M24C02-WMN6TP-TAB</t>
    <phoneticPr fontId="1" type="noConversion"/>
  </si>
  <si>
    <t>IC-PCA9575-TAB</t>
    <phoneticPr fontId="1" type="noConversion"/>
  </si>
  <si>
    <t>IC-PCAL6524HE-TAB</t>
    <phoneticPr fontId="1" type="noConversion"/>
  </si>
  <si>
    <t>TD4</t>
  </si>
  <si>
    <t>TX1/TD4 Power</t>
  </si>
  <si>
    <t>TX1-S1(A)</t>
  </si>
  <si>
    <t>TX1-S1(B)</t>
  </si>
  <si>
    <t>T35U</t>
  </si>
  <si>
    <t>T3IU(A+B)</t>
  </si>
  <si>
    <t>T356789IU(A)</t>
  </si>
  <si>
    <t>T356789IU(B)</t>
  </si>
  <si>
    <t>T356789IU+Display(C)</t>
  </si>
  <si>
    <t>T6U</t>
  </si>
  <si>
    <t>T7U</t>
  </si>
  <si>
    <t>T8U</t>
  </si>
  <si>
    <t>IC-CN7010-1000WG640-CP-G-TAB</t>
    <phoneticPr fontId="1" type="noConversion"/>
  </si>
  <si>
    <t>OC-10935B-TAB</t>
    <phoneticPr fontId="1" type="noConversion"/>
  </si>
  <si>
    <t>EC-20178A-TAB</t>
    <phoneticPr fontId="1" type="noConversion"/>
  </si>
  <si>
    <t>UC-20021B-TAB</t>
    <phoneticPr fontId="1" type="noConversion"/>
  </si>
  <si>
    <t>EC-20143A-TAB</t>
    <phoneticPr fontId="1" type="noConversion"/>
  </si>
  <si>
    <t>UC-20034B-TAB</t>
    <phoneticPr fontId="1" type="noConversion"/>
  </si>
  <si>
    <t>EC-80011A-TAB</t>
    <phoneticPr fontId="1" type="noConversion"/>
  </si>
  <si>
    <t>UC-10023A-TAB</t>
    <phoneticPr fontId="1" type="noConversion"/>
  </si>
  <si>
    <t>UC-20035A-TAB</t>
    <phoneticPr fontId="1" type="noConversion"/>
  </si>
  <si>
    <t>IC-9FGV0641AKLFT-TAB</t>
    <phoneticPr fontId="1" type="noConversion"/>
  </si>
  <si>
    <t>IC-9FGV0841AKLFT-TAB</t>
    <phoneticPr fontId="1" type="noConversion"/>
  </si>
  <si>
    <t>IC-AON7246E-TAB</t>
    <phoneticPr fontId="1" type="noConversion"/>
  </si>
  <si>
    <t>IC-AON7407-TAB</t>
    <phoneticPr fontId="1" type="noConversion"/>
  </si>
  <si>
    <t>IC-AOZ2262AQI-10-TAB</t>
    <phoneticPr fontId="1" type="noConversion"/>
  </si>
  <si>
    <t>IC-AP62200Z6-7-TAB</t>
    <phoneticPr fontId="1" type="noConversion"/>
  </si>
  <si>
    <t>IC-ADM1032ARZ-1REEL-TAB</t>
    <phoneticPr fontId="1" type="noConversion"/>
  </si>
  <si>
    <t>IC-AP2192A-TAB</t>
    <phoneticPr fontId="1" type="noConversion"/>
  </si>
  <si>
    <t>IC-APX809-29SAG-7-TAB</t>
    <phoneticPr fontId="1" type="noConversion"/>
  </si>
  <si>
    <t>IC-AT24CS32-TAB</t>
    <phoneticPr fontId="1" type="noConversion"/>
  </si>
  <si>
    <t>IC-AP7173-FNG-7-TAB</t>
    <phoneticPr fontId="1" type="noConversion"/>
  </si>
  <si>
    <t>IC-AP7361E-FGE-7-TAB</t>
    <phoneticPr fontId="1" type="noConversion"/>
  </si>
  <si>
    <t>OC-10814B-TAB</t>
    <phoneticPr fontId="1" type="noConversion"/>
  </si>
  <si>
    <t>IC-AZ1117CH-ADJTRG1-TAB</t>
    <phoneticPr fontId="1" type="noConversion"/>
  </si>
  <si>
    <t>OC-70018B-TAB</t>
    <phoneticPr fontId="1" type="noConversion"/>
  </si>
  <si>
    <t>OC-70019B-TAB</t>
    <phoneticPr fontId="1" type="noConversion"/>
  </si>
  <si>
    <t>EC-20185A-TAB</t>
    <phoneticPr fontId="1" type="noConversion"/>
  </si>
  <si>
    <t>EC-20175A-TAB</t>
    <phoneticPr fontId="1" type="noConversion"/>
  </si>
  <si>
    <t>IC-CBTL02043ABQ-TAB</t>
    <phoneticPr fontId="1" type="noConversion"/>
  </si>
  <si>
    <t>EC-20186A-TAB</t>
    <phoneticPr fontId="1" type="noConversion"/>
  </si>
  <si>
    <t>EC-20140A-TAB</t>
    <phoneticPr fontId="1" type="noConversion"/>
  </si>
  <si>
    <t>IC-CSD18531Q5AT-TAB</t>
    <phoneticPr fontId="1" type="noConversion"/>
  </si>
  <si>
    <t>UC-20029A-TAB</t>
    <phoneticPr fontId="1" type="noConversion"/>
  </si>
  <si>
    <t>EC-20190A-TAB</t>
    <phoneticPr fontId="1" type="noConversion"/>
  </si>
  <si>
    <t>EC-20131A-TAB</t>
    <phoneticPr fontId="1" type="noConversion"/>
  </si>
  <si>
    <t>IC-ESD7104MUTAG-TAB</t>
    <phoneticPr fontId="1" type="noConversion"/>
  </si>
  <si>
    <t>EC-30053A-TAB</t>
    <phoneticPr fontId="1" type="noConversion"/>
  </si>
  <si>
    <t>IC-FAN53541-TAB</t>
    <phoneticPr fontId="1" type="noConversion"/>
  </si>
  <si>
    <t>IC-FDS4935BZ-TAB</t>
    <phoneticPr fontId="1" type="noConversion"/>
  </si>
  <si>
    <t>UC-20033B-TAB</t>
    <phoneticPr fontId="1" type="noConversion"/>
  </si>
  <si>
    <t>UC-20032B-TAB</t>
    <phoneticPr fontId="1" type="noConversion"/>
  </si>
  <si>
    <t>OC-10947B-TAB</t>
    <phoneticPr fontId="1" type="noConversion"/>
  </si>
  <si>
    <t>GHR-04V-S-TAB</t>
    <phoneticPr fontId="1" type="noConversion"/>
  </si>
  <si>
    <t>EC-30011A-TAB</t>
    <phoneticPr fontId="1" type="noConversion"/>
  </si>
  <si>
    <t>IC-INA234AIYBJR-TAB</t>
    <phoneticPr fontId="1" type="noConversion"/>
  </si>
  <si>
    <t>IC-IS43TR16512BL-107MBL-TAB</t>
    <phoneticPr fontId="1" type="noConversion"/>
  </si>
  <si>
    <t>IC-IS43TR16640CL-TAB</t>
    <phoneticPr fontId="1" type="noConversion"/>
  </si>
  <si>
    <t>IC-KTD3122EAZ-TR-TAB</t>
    <phoneticPr fontId="1" type="noConversion"/>
  </si>
  <si>
    <t>IC-KTD3156B-TAB</t>
    <phoneticPr fontId="1" type="noConversion"/>
  </si>
  <si>
    <t>UC-F0015A-TAB</t>
    <phoneticPr fontId="1" type="noConversion"/>
  </si>
  <si>
    <t>IC-LD39100PUR-TAB</t>
    <phoneticPr fontId="1" type="noConversion"/>
  </si>
  <si>
    <t>IC-LM25119PSQE/NOPB-TAB</t>
    <phoneticPr fontId="1" type="noConversion"/>
  </si>
  <si>
    <t>IC-LM393B-TAB</t>
    <phoneticPr fontId="1" type="noConversion"/>
  </si>
  <si>
    <t>IC-LM5146-TAB</t>
    <phoneticPr fontId="1" type="noConversion"/>
  </si>
  <si>
    <t>IC-LM73100-TAB</t>
    <phoneticPr fontId="1" type="noConversion"/>
  </si>
  <si>
    <t>EC-30062A-TAB</t>
    <phoneticPr fontId="1" type="noConversion"/>
  </si>
  <si>
    <t>IC-MAX15046AAEE+T-TAB</t>
    <phoneticPr fontId="1" type="noConversion"/>
  </si>
  <si>
    <t>IC-MAX3232IPWR-TAB</t>
    <phoneticPr fontId="1" type="noConversion"/>
  </si>
  <si>
    <t>IC-MSP430G2131IPW14R-TAB</t>
    <phoneticPr fontId="1" type="noConversion"/>
  </si>
  <si>
    <t>IC-MT25QL512ABB8E12-0SIT-TAB</t>
    <phoneticPr fontId="1" type="noConversion"/>
  </si>
  <si>
    <t>IC-NB675-TAB</t>
    <phoneticPr fontId="1" type="noConversion"/>
  </si>
  <si>
    <t>IC-NB685AGQ-Z-TAB</t>
    <phoneticPr fontId="1" type="noConversion"/>
  </si>
  <si>
    <t>EC-30037A-TAB</t>
    <phoneticPr fontId="1" type="noConversion"/>
  </si>
  <si>
    <t>IC-PCA9557PW+118-TAB</t>
    <phoneticPr fontId="1" type="noConversion"/>
  </si>
  <si>
    <t>IC-PCA9685-TAB</t>
    <phoneticPr fontId="1" type="noConversion"/>
  </si>
  <si>
    <t>IC-PI6C557-05BLE-TAB</t>
    <phoneticPr fontId="1" type="noConversion"/>
  </si>
  <si>
    <t>IC-PI6CB18801-TAB</t>
    <phoneticPr fontId="1" type="noConversion"/>
  </si>
  <si>
    <t>IC-PI7C9X2G304SL-TAB</t>
    <phoneticPr fontId="1" type="noConversion"/>
  </si>
  <si>
    <t>IC-PUSB3FA2Z-TAB</t>
    <phoneticPr fontId="1" type="noConversion"/>
  </si>
  <si>
    <t>EC-20128A-TAB</t>
    <phoneticPr fontId="1" type="noConversion"/>
  </si>
  <si>
    <t>IC-S-8581AA-A8T1U7-TAB</t>
    <phoneticPr fontId="1" type="noConversion"/>
  </si>
  <si>
    <t>EC-60004A-TAB</t>
    <phoneticPr fontId="1" type="noConversion"/>
  </si>
  <si>
    <t>IC-S25FL064LABMFI013-TAB</t>
    <phoneticPr fontId="1" type="noConversion"/>
  </si>
  <si>
    <t>EC-60003A-TAB</t>
    <phoneticPr fontId="1" type="noConversion"/>
  </si>
  <si>
    <t>UC-50089B-TAB</t>
    <phoneticPr fontId="1" type="noConversion"/>
  </si>
  <si>
    <t>IC-SM768-TAB</t>
    <phoneticPr fontId="1" type="noConversion"/>
  </si>
  <si>
    <t>EC-50016A-TAB</t>
    <phoneticPr fontId="1" type="noConversion"/>
  </si>
  <si>
    <t>EC-50017A-TAB</t>
    <phoneticPr fontId="1" type="noConversion"/>
  </si>
  <si>
    <t>IC-SN2000MA120GI-TAB</t>
    <phoneticPr fontId="1" type="noConversion"/>
  </si>
  <si>
    <t>IC-SN74LVC1G3157DCKR-TAB</t>
    <phoneticPr fontId="1" type="noConversion"/>
  </si>
  <si>
    <t>IC-SP1004U-ULC-04UTG-TAB</t>
    <phoneticPr fontId="1" type="noConversion"/>
  </si>
  <si>
    <t>IC-SP3011-06UTG-TAB</t>
    <phoneticPr fontId="1" type="noConversion"/>
  </si>
  <si>
    <t>EC-30059A-TAB</t>
    <phoneticPr fontId="1" type="noConversion"/>
  </si>
  <si>
    <t>IC-STM32F429BIT6-TAB</t>
    <phoneticPr fontId="1" type="noConversion"/>
  </si>
  <si>
    <t>IC-STM32L071VBT6TR-TAB</t>
    <phoneticPr fontId="1" type="noConversion"/>
  </si>
  <si>
    <t>IC-SZESD7104MTWTAG-TAB</t>
    <phoneticPr fontId="1" type="noConversion"/>
  </si>
  <si>
    <t>UC-F0021A</t>
    <phoneticPr fontId="1" type="noConversion"/>
  </si>
  <si>
    <t>OC-10918B-TAB</t>
    <phoneticPr fontId="1" type="noConversion"/>
  </si>
  <si>
    <t>IC-TLV70212DBVR-TAB</t>
    <phoneticPr fontId="1" type="noConversion"/>
  </si>
  <si>
    <t>IC-TPD2EUSB30-TAB</t>
    <phoneticPr fontId="1" type="noConversion"/>
  </si>
  <si>
    <t>IC-TPS25944LRVCR-TAB</t>
    <phoneticPr fontId="1" type="noConversion"/>
  </si>
  <si>
    <t>IC-TPS563200DDCR-TAB</t>
    <phoneticPr fontId="1" type="noConversion"/>
  </si>
  <si>
    <t>IC-TUSB9261-TAB</t>
    <phoneticPr fontId="1" type="noConversion"/>
  </si>
  <si>
    <t>EC-30056A-TAB</t>
    <phoneticPr fontId="1" type="noConversion"/>
  </si>
  <si>
    <t>IC-X557-AT2-TAB</t>
  </si>
  <si>
    <t>EC-30063A-TAB</t>
    <phoneticPr fontId="1" type="noConversion"/>
  </si>
  <si>
    <t>IC-XCZU5CG-1FBVB900E-TAB</t>
    <phoneticPr fontId="1" type="noConversion"/>
  </si>
  <si>
    <t>IC-XIO2213B-ZAY-TAB</t>
    <phoneticPr fontId="1" type="noConversion"/>
  </si>
  <si>
    <t>OC-10919B</t>
    <phoneticPr fontId="1" type="noConversion"/>
  </si>
  <si>
    <t>OC-10920B</t>
    <phoneticPr fontId="1" type="noConversion"/>
  </si>
  <si>
    <t>OC-10921B</t>
    <phoneticPr fontId="1" type="noConversion"/>
  </si>
  <si>
    <t>OC-10841B-TAB</t>
    <phoneticPr fontId="1" type="noConversion"/>
  </si>
  <si>
    <t>OC-10932B</t>
    <phoneticPr fontId="1" type="noConversion"/>
  </si>
  <si>
    <t>OC-10936B</t>
    <phoneticPr fontId="1" type="noConversion"/>
  </si>
  <si>
    <t>UC-F0016A-TAB</t>
    <phoneticPr fontId="1" type="noConversion"/>
  </si>
  <si>
    <t>OC-10964B-TAB</t>
    <phoneticPr fontId="1" type="noConversion"/>
  </si>
  <si>
    <t>OC-10965B-TAB</t>
  </si>
  <si>
    <t>UC-M0003A-TAB</t>
    <phoneticPr fontId="1" type="noConversion"/>
  </si>
  <si>
    <t>EC-60043A-TAB</t>
    <phoneticPr fontId="1" type="noConversion"/>
  </si>
  <si>
    <t>EXPRESS-ID7-D-1713NT/M8G-TAB</t>
    <phoneticPr fontId="1" type="noConversion"/>
  </si>
  <si>
    <t>TA7-1</t>
    <phoneticPr fontId="1" type="noConversion"/>
  </si>
  <si>
    <t>TA7-2</t>
    <phoneticPr fontId="1" type="noConversion"/>
  </si>
  <si>
    <t>TA7-3</t>
    <phoneticPr fontId="1" type="noConversion"/>
  </si>
  <si>
    <t>TA7-5</t>
    <phoneticPr fontId="1" type="noConversion"/>
  </si>
  <si>
    <t>TA7-9</t>
    <phoneticPr fontId="1" type="noConversion"/>
  </si>
  <si>
    <t>TX2</t>
    <phoneticPr fontId="1" type="noConversion"/>
  </si>
  <si>
    <t>UC-F0023A-TAB</t>
    <phoneticPr fontId="1" type="noConversion"/>
  </si>
  <si>
    <t>IC-MAX98357AETE+T-TAB</t>
    <phoneticPr fontId="1" type="noConversion"/>
  </si>
  <si>
    <t>IC-MT25QL02GCBB8E12-0SIT-TAB</t>
    <phoneticPr fontId="1" type="noConversion"/>
  </si>
  <si>
    <t>IC-TPS259531DSG-TAB</t>
    <phoneticPr fontId="1" type="noConversion"/>
  </si>
  <si>
    <t>0907-2-15-20-75-14-11-0  (20220512 TD4)</t>
  </si>
  <si>
    <t>16SVPG270MX</t>
  </si>
  <si>
    <t>35SVPF82M (201511.18 NEW)</t>
  </si>
  <si>
    <t>5GSH93561</t>
  </si>
  <si>
    <t>87975-1011</t>
  </si>
  <si>
    <t>1888019-8 (replacement for 8AB36-2420-LJ-PR)</t>
  </si>
  <si>
    <t>9FGV0841AKLFT (20150929 NEW)</t>
  </si>
  <si>
    <t>A765EB157M1ALAE022 (20201029 TD4)</t>
  </si>
  <si>
    <t>AON7246E (20210830)</t>
  </si>
  <si>
    <t>AON7407 (102'3'14 新增)</t>
  </si>
  <si>
    <t>AOZ2262AQI-10 (2021-10-13)</t>
  </si>
  <si>
    <t>AP62200Z6-7</t>
  </si>
  <si>
    <t>ADM1032ARMZ-1REEL (102'1'17 新增)</t>
  </si>
  <si>
    <t>APX809-29SAG-7</t>
  </si>
  <si>
    <t>AT24CS32</t>
  </si>
  <si>
    <t>AP7173-FNG-7</t>
  </si>
  <si>
    <t>AP7361E-FGE-7</t>
  </si>
  <si>
    <t xml:space="preserve">ATS-61270D-C1-R0  (Digikey: ATS1416-ND ) </t>
  </si>
  <si>
    <t>AX5DAF1-150.0000T</t>
  </si>
  <si>
    <t>AZ1117CH-ADJTRG</t>
  </si>
  <si>
    <t>BFB03512MA-CF00 (DELTA )</t>
  </si>
  <si>
    <t>BFB03512HA-C</t>
  </si>
  <si>
    <t>BLM15EX121SN1D</t>
  </si>
  <si>
    <t>C2012X5R1C226M125AC</t>
  </si>
  <si>
    <t>C3216X5R1E476M160AC</t>
  </si>
  <si>
    <t>CBTL02043ABQ   (101'8'14 新增)</t>
  </si>
  <si>
    <t>CC1206KKX5R9BB106</t>
  </si>
  <si>
    <t>CLL5X105MR3NLNC</t>
  </si>
  <si>
    <t>CN7010-1000WG640-CP-G</t>
  </si>
  <si>
    <t>CSD18531Q5AT</t>
  </si>
  <si>
    <t>DF50-40DP-1V(51) (20150414 NEW)</t>
  </si>
  <si>
    <t>EEE-1EA101UAP  (20230927 NEW)</t>
  </si>
  <si>
    <t>EEE-FT1V101AP  (20140402 NEW)</t>
  </si>
  <si>
    <t>EXLA1V0505-4R7-R</t>
  </si>
  <si>
    <t>EXL1V0705-4R7-R</t>
  </si>
  <si>
    <t>EXPRESS-ID7-D-1713NT/M16G</t>
  </si>
  <si>
    <t>FAN53541UCX  20130812 NEW</t>
  </si>
  <si>
    <t>FX18-40P-0.8SV</t>
  </si>
  <si>
    <t>FX18-40S-0.8SH</t>
  </si>
  <si>
    <t>G23-21YR-083E</t>
  </si>
  <si>
    <t>G97R22312HR</t>
  </si>
  <si>
    <t>GHR-04V-S</t>
  </si>
  <si>
    <t>INA234A1YBJR</t>
  </si>
  <si>
    <t>IS43TR16512BL-107MBL</t>
  </si>
  <si>
    <t>IS43TR16640CL-125JBL (20201029 NEW)</t>
  </si>
  <si>
    <t>KTD3122EAZ-TR</t>
  </si>
  <si>
    <t>KTD3156B</t>
  </si>
  <si>
    <t>LCD Module for T8u/T6u, P/N: BTC-1602CX-S   (2014 11 NEW)</t>
  </si>
  <si>
    <t>LD39100PUR  20140315 NEW</t>
  </si>
  <si>
    <t>LM25119PSQE/NOPB  (102'1'17 新增)</t>
  </si>
  <si>
    <t>LM393B</t>
  </si>
  <si>
    <t>LM5146</t>
  </si>
  <si>
    <t>LM73100</t>
  </si>
  <si>
    <t>LSXNH8080YKL220MJG</t>
  </si>
  <si>
    <t>M24C02-WMN6TP</t>
  </si>
  <si>
    <t>MAX15046AAEE+T (20201029 TD4)</t>
  </si>
  <si>
    <t>MAX3232IPWR OR  MAX3232ECUE+</t>
  </si>
  <si>
    <t>MAX98357AETE+ (2021-10-13)</t>
  </si>
  <si>
    <t>MSP430G2131IPW14R</t>
  </si>
  <si>
    <t>MT25QL02GCBB8E12-0SIT (20201029 TD4)</t>
  </si>
  <si>
    <t>MT25QL512ABB8E12-0SIT</t>
  </si>
  <si>
    <t>NB675GL-Z  (20140807 NEW)</t>
  </si>
  <si>
    <t>NB685AGQ-Z</t>
  </si>
  <si>
    <t>NRS5020TR47NMGJV</t>
  </si>
  <si>
    <t>PCA9557PW+118 (101'11'06 )</t>
  </si>
  <si>
    <t>PCA9575PW2,118</t>
  </si>
  <si>
    <t>PCA9685</t>
  </si>
  <si>
    <t>PCAL6524HE</t>
  </si>
  <si>
    <t>PI6C557-05BLE   (20140402 NEW)</t>
  </si>
  <si>
    <t>PI6CB18801</t>
  </si>
  <si>
    <t>PI7C9X2G304SLBFDEX</t>
  </si>
  <si>
    <t>PUSB3FA2Z</t>
  </si>
  <si>
    <t>RSA0J331MCN1GS</t>
  </si>
  <si>
    <t>S-8581AA-A8T1U7</t>
  </si>
  <si>
    <t>S1703B-25.0000 (Sub: CB3LV-3C-25M0000)</t>
  </si>
  <si>
    <t>S25FL064LABMFI013</t>
  </si>
  <si>
    <t>SiT8008BC-73-33E-50.000000E (20201029 TD4)</t>
  </si>
  <si>
    <t>SiT8103AC-83-33E-98.30400 or CW866CT-ND Equiv.</t>
  </si>
  <si>
    <t>SM04B-GHS-TB</t>
  </si>
  <si>
    <t>SM768</t>
  </si>
  <si>
    <t>SMAJ12A-TR (102'3'14 新增)</t>
  </si>
  <si>
    <t>SMAJ5.0A-TR (102'3'14 新增)</t>
  </si>
  <si>
    <t>SN2000MA120GI-1TB2-1DB-STD</t>
  </si>
  <si>
    <t>SN74LVC1G3157DCKR</t>
  </si>
  <si>
    <t>SP1004U-ULC-04UTG</t>
  </si>
  <si>
    <t>SP3011-06UTG (2012'10'27 新增)</t>
  </si>
  <si>
    <t>SRP3212-3R3M</t>
  </si>
  <si>
    <t>SRP6060FA-100M (20230927 NEW)</t>
  </si>
  <si>
    <t>STM32F031C4T6TR (20140415 NEW)</t>
  </si>
  <si>
    <t>STM32F429BIT6(T356789iu+LCD prototypes)</t>
  </si>
  <si>
    <t>STM32L071VBT6TR (20201029 TD4)</t>
  </si>
  <si>
    <t>SZESD7104MTWTAG (20220428 TD4)</t>
  </si>
  <si>
    <t>TD4 LCD MODULE (F50TFXD-12)</t>
  </si>
  <si>
    <t>TD4 HEATSINK (RADIAN INL31001-13/1.7)</t>
  </si>
  <si>
    <t>TPS259531DSG</t>
  </si>
  <si>
    <t>TPS259541DSG</t>
  </si>
  <si>
    <t>TPD2EUSB30DRTR</t>
  </si>
  <si>
    <t>TPS25944LRVCR</t>
  </si>
  <si>
    <t>TPS563200DDCR</t>
  </si>
  <si>
    <t>TUSB9261PVP</t>
  </si>
  <si>
    <t>USB3300-EZK-TR (20201029 TD4)</t>
  </si>
  <si>
    <t>VLS201612HBX-3R3M-1</t>
  </si>
  <si>
    <t>X557-AT2</t>
  </si>
  <si>
    <t>XAL7070-332MEC</t>
  </si>
  <si>
    <t>XC7K70T-1FBG484I</t>
  </si>
  <si>
    <t>XCZU5CG-1FBVB900E  (2021-10-13)</t>
  </si>
  <si>
    <t>TX2 CUSTOM HEATSINK PT HEATSINK# H003939(ADLINK_HS)</t>
  </si>
  <si>
    <t>TX2 CUSTOM HEATSINK PT HEATSINK# P8600133(PHY_HS)</t>
  </si>
  <si>
    <t>TX2 CUSTOM LCD-MODULE</t>
  </si>
  <si>
    <t>生產結餘(12/30/2025)   Remaining</t>
    <phoneticPr fontId="1" type="noConversion"/>
  </si>
  <si>
    <t>PI7C9X3G606GP</t>
    <phoneticPr fontId="1" type="noConversion"/>
  </si>
  <si>
    <t>IC-PI7C9X3G606GP-TAB</t>
    <phoneticPr fontId="1" type="noConversion"/>
  </si>
  <si>
    <t>PMM-8620AU-0</t>
  </si>
  <si>
    <t>PMM-8620AU-2</t>
  </si>
  <si>
    <t>IC-PMM-8620AU-0-TAB</t>
    <phoneticPr fontId="1" type="noConversion"/>
  </si>
  <si>
    <t>IC-PMM-8620AU-2-TAB</t>
    <phoneticPr fontId="1" type="noConversion"/>
  </si>
  <si>
    <t>MT62F1G32D2DS-020IT:D</t>
  </si>
  <si>
    <t>QCS8275</t>
  </si>
  <si>
    <t>TPS62933</t>
  </si>
  <si>
    <t>TS1GSH72V2B</t>
  </si>
  <si>
    <t>EMMC32G-TS0A-01002</t>
    <phoneticPr fontId="1" type="noConversion"/>
  </si>
  <si>
    <t>IC-TPS62933DRLR-TAB</t>
  </si>
  <si>
    <t>IC-TS1GSH72V2B-TAB</t>
  </si>
  <si>
    <t>IC-QCS8275-TAB</t>
  </si>
  <si>
    <t>IC-MT62F1G32D2DS-020IT-TAB</t>
  </si>
  <si>
    <t>IC-EMMC32G-TS0A-TAB</t>
  </si>
  <si>
    <t>3000+17000</t>
    <phoneticPr fontId="1" type="noConversion"/>
  </si>
  <si>
    <t>1000*12</t>
    <phoneticPr fontId="1" type="noConversion"/>
  </si>
  <si>
    <t>10000*3</t>
    <phoneticPr fontId="1" type="noConversion"/>
  </si>
  <si>
    <t>1000*10</t>
    <phoneticPr fontId="1" type="noConversion"/>
  </si>
  <si>
    <t>502+23</t>
    <phoneticPr fontId="1" type="noConversion"/>
  </si>
  <si>
    <t>800*6+2400</t>
    <phoneticPr fontId="1" type="noConversion"/>
  </si>
  <si>
    <t>750*4</t>
    <phoneticPr fontId="1" type="noConversion"/>
  </si>
  <si>
    <t>5000*4</t>
    <phoneticPr fontId="1" type="noConversion"/>
  </si>
  <si>
    <t>56*7</t>
    <phoneticPr fontId="1" type="noConversion"/>
  </si>
  <si>
    <t>257*2+233*2+490</t>
    <phoneticPr fontId="1" type="noConversion"/>
  </si>
  <si>
    <t>3000*6+500</t>
    <phoneticPr fontId="1" type="noConversion"/>
  </si>
  <si>
    <t>800+400*13+348+52+115+11</t>
    <phoneticPr fontId="1" type="noConversion"/>
  </si>
  <si>
    <t>250*5</t>
    <phoneticPr fontId="1" type="noConversion"/>
  </si>
  <si>
    <t>2+8+2</t>
    <phoneticPr fontId="1" type="noConversion"/>
  </si>
  <si>
    <t>3000*2</t>
    <phoneticPr fontId="1" type="noConversion"/>
  </si>
  <si>
    <t>1900*3+1370</t>
    <phoneticPr fontId="1" type="noConversion"/>
  </si>
  <si>
    <t>3000*3</t>
    <phoneticPr fontId="1" type="noConversion"/>
  </si>
  <si>
    <t>200+60+400*3+200*2+300</t>
    <phoneticPr fontId="1" type="noConversion"/>
  </si>
  <si>
    <t>20+20</t>
    <phoneticPr fontId="1" type="noConversion"/>
  </si>
  <si>
    <t>5000*2</t>
    <phoneticPr fontId="1" type="noConversion"/>
  </si>
  <si>
    <t>500*4</t>
    <phoneticPr fontId="1" type="noConversion"/>
  </si>
  <si>
    <t>30+20</t>
    <phoneticPr fontId="1" type="noConversion"/>
  </si>
  <si>
    <t>35+15+20</t>
    <phoneticPr fontId="1" type="noConversion"/>
  </si>
  <si>
    <t>20+50</t>
    <phoneticPr fontId="1" type="noConversion"/>
  </si>
  <si>
    <t>224*4</t>
    <phoneticPr fontId="1" type="noConversion"/>
  </si>
  <si>
    <t>3000*4</t>
    <phoneticPr fontId="1" type="noConversion"/>
  </si>
  <si>
    <t>3000*10</t>
    <phoneticPr fontId="1" type="noConversion"/>
  </si>
  <si>
    <t>3000*12+6000</t>
    <phoneticPr fontId="1" type="noConversion"/>
  </si>
  <si>
    <t>3000*6</t>
    <phoneticPr fontId="1" type="noConversion"/>
  </si>
  <si>
    <t>250*6</t>
    <phoneticPr fontId="1" type="noConversion"/>
  </si>
  <si>
    <t>800*4+600+46+4+53+29+8+154</t>
    <phoneticPr fontId="1" type="noConversion"/>
  </si>
  <si>
    <t>115+135</t>
    <phoneticPr fontId="1" type="noConversion"/>
  </si>
  <si>
    <t>800*6+160+300+555+100+110+107+98</t>
    <phoneticPr fontId="1" type="noConversion"/>
  </si>
  <si>
    <t>200*4</t>
    <phoneticPr fontId="1" type="noConversion"/>
  </si>
  <si>
    <t>40*11</t>
    <phoneticPr fontId="1" type="noConversion"/>
  </si>
  <si>
    <t>30*4+500</t>
    <phoneticPr fontId="1" type="noConversion"/>
  </si>
  <si>
    <t>900*9</t>
    <phoneticPr fontId="1" type="noConversion"/>
  </si>
  <si>
    <t>162*6</t>
    <phoneticPr fontId="1" type="noConversion"/>
  </si>
  <si>
    <t>16+36*12</t>
    <phoneticPr fontId="1" type="noConversion"/>
  </si>
  <si>
    <t>250*8</t>
    <phoneticPr fontId="1" type="noConversion"/>
  </si>
  <si>
    <t>350*2+70+490</t>
    <phoneticPr fontId="1" type="noConversion"/>
  </si>
  <si>
    <t>1320*2</t>
    <phoneticPr fontId="1" type="noConversion"/>
  </si>
  <si>
    <t>375*2</t>
    <phoneticPr fontId="1" type="noConversion"/>
  </si>
  <si>
    <t>100*5+4</t>
    <phoneticPr fontId="1" type="noConversion"/>
  </si>
  <si>
    <t>120*2</t>
    <phoneticPr fontId="1" type="noConversion"/>
  </si>
  <si>
    <t>29*32+2*8</t>
    <phoneticPr fontId="1" type="noConversion"/>
  </si>
  <si>
    <t>48*100+300</t>
    <phoneticPr fontId="1" type="noConversion"/>
  </si>
  <si>
    <t>1250*7</t>
    <phoneticPr fontId="1" type="noConversion"/>
  </si>
  <si>
    <t>100*8</t>
    <phoneticPr fontId="1" type="noConversion"/>
  </si>
  <si>
    <t>200*7</t>
    <phoneticPr fontId="1" type="noConversion"/>
  </si>
  <si>
    <t>400*3+200</t>
    <phoneticPr fontId="1" type="noConversion"/>
  </si>
  <si>
    <t>400+600+201</t>
    <phoneticPr fontId="1" type="noConversion"/>
  </si>
  <si>
    <t>500+500</t>
    <phoneticPr fontId="1" type="noConversion"/>
  </si>
  <si>
    <t>BFB03512HHA-C (DELTA )</t>
  </si>
  <si>
    <t>OC-70021B-TAB</t>
    <phoneticPr fontId="1" type="noConversion"/>
  </si>
  <si>
    <t>KTD3136</t>
    <phoneticPr fontId="1" type="noConversion"/>
  </si>
  <si>
    <t>IC-KTD3136-TAB</t>
    <phoneticPr fontId="1" type="noConversion"/>
  </si>
  <si>
    <r>
      <t>100*3+</t>
    </r>
    <r>
      <rPr>
        <sz val="12"/>
        <color rgb="FF660066"/>
        <rFont val="Calibri"/>
        <family val="2"/>
      </rPr>
      <t>1100</t>
    </r>
    <phoneticPr fontId="1" type="noConversion"/>
  </si>
  <si>
    <r>
      <t>0+</t>
    </r>
    <r>
      <rPr>
        <sz val="12"/>
        <color rgb="FF660066"/>
        <rFont val="Calibri"/>
        <family val="2"/>
      </rPr>
      <t>9000</t>
    </r>
    <phoneticPr fontId="1" type="noConversion"/>
  </si>
  <si>
    <r>
      <t>0</t>
    </r>
    <r>
      <rPr>
        <sz val="12"/>
        <color rgb="FF660066"/>
        <rFont val="Calibri"/>
        <family val="2"/>
      </rPr>
      <t>+6000</t>
    </r>
    <phoneticPr fontId="1" type="noConversion"/>
  </si>
  <si>
    <r>
      <t>3000*2</t>
    </r>
    <r>
      <rPr>
        <sz val="12"/>
        <color rgb="FF660066"/>
        <rFont val="Calibri"/>
        <family val="2"/>
      </rPr>
      <t>+6000</t>
    </r>
    <phoneticPr fontId="1" type="noConversion"/>
  </si>
  <si>
    <r>
      <t>20+500*2+490</t>
    </r>
    <r>
      <rPr>
        <sz val="12"/>
        <color rgb="FF660066"/>
        <rFont val="Calibri"/>
        <family val="2"/>
      </rPr>
      <t>+990</t>
    </r>
    <phoneticPr fontId="1" type="noConversion"/>
  </si>
  <si>
    <t>TPSM84209RKHT</t>
    <phoneticPr fontId="1" type="noConversion"/>
  </si>
  <si>
    <t>IC-TPSM84209RKHT-TAB</t>
    <phoneticPr fontId="1" type="noConversion"/>
  </si>
  <si>
    <t xml:space="preserve">                   2026/6/30                All production total                     </t>
    <phoneticPr fontId="1" type="noConversion"/>
  </si>
  <si>
    <t>TPSM86638</t>
  </si>
  <si>
    <t>IC-TPSM86638-TAB</t>
  </si>
  <si>
    <t>THGAMVG8T13BAB7</t>
  </si>
  <si>
    <t>IC-THGAMVG8T13BAB7-TAB</t>
  </si>
  <si>
    <t>3000*9+1000+3000+3000</t>
    <phoneticPr fontId="1" type="noConversion"/>
  </si>
  <si>
    <t>1000*3+1000</t>
    <phoneticPr fontId="1" type="noConversion"/>
  </si>
  <si>
    <t>2100+203+85+1+520</t>
    <phoneticPr fontId="1" type="noConversion"/>
  </si>
  <si>
    <t>360*8+180+80</t>
    <phoneticPr fontId="1" type="noConversion"/>
  </si>
  <si>
    <t>160+495</t>
    <phoneticPr fontId="1" type="noConversion"/>
  </si>
  <si>
    <t>40*13+16+1+403+80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</si>
</sst>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Red]\-#,##0\ "/>
    <numFmt numFmtId="177" formatCode="0_ ;[Red]\-0\ "/>
    <numFmt numFmtId="178" formatCode="#,##0;[Red]#,##0"/>
    <numFmt numFmtId="179" formatCode="0_);[Red]\(0\)"/>
  </numFmts>
  <fonts count="44" x14ac:knownFonts="1">
    <font>
      <sz val="12"/>
      <name val="新細明體"/>
      <family val="1"/>
      <charset val="136"/>
    </font>
    <font>
      <sz val="9"/>
      <name val="新細明體"/>
      <family val="1"/>
      <charset val="136"/>
    </font>
    <font>
      <sz val="10"/>
      <name val="Calibri"/>
      <family val="2"/>
    </font>
    <font>
      <sz val="14"/>
      <name val="Calibri"/>
      <family val="2"/>
    </font>
    <font>
      <sz val="11"/>
      <name val="Calibri"/>
      <family val="2"/>
    </font>
    <font>
      <sz val="11"/>
      <name val="Verdana"/>
      <family val="2"/>
    </font>
    <font>
      <sz val="12"/>
      <name val="Calibri"/>
      <family val="2"/>
    </font>
    <font>
      <sz val="12"/>
      <name val="細明體"/>
      <family val="3"/>
      <charset val="136"/>
    </font>
    <font>
      <b/>
      <sz val="11"/>
      <name val="Calibri"/>
      <family val="2"/>
    </font>
    <font>
      <b/>
      <sz val="11"/>
      <color indexed="17"/>
      <name val="細明體"/>
      <family val="3"/>
      <charset val="136"/>
    </font>
    <font>
      <b/>
      <sz val="11"/>
      <color indexed="12"/>
      <name val="細明體"/>
      <family val="3"/>
      <charset val="136"/>
    </font>
    <font>
      <sz val="20"/>
      <name val="Calibri"/>
      <family val="2"/>
    </font>
    <font>
      <sz val="12"/>
      <name val="Verdana"/>
      <family val="2"/>
    </font>
    <font>
      <b/>
      <sz val="9"/>
      <color indexed="81"/>
      <name val="Tahoma"/>
      <family val="2"/>
    </font>
    <font>
      <sz val="9"/>
      <color indexed="81"/>
      <name val="Tahoma"/>
      <family val="2"/>
    </font>
    <font>
      <sz val="11"/>
      <name val="細明體"/>
      <family val="3"/>
      <charset val="136"/>
    </font>
    <font>
      <b/>
      <sz val="11"/>
      <name val="Arial"/>
      <family val="2"/>
    </font>
    <font>
      <b/>
      <sz val="10"/>
      <color rgb="FF008000"/>
      <name val="Calibri"/>
      <family val="2"/>
    </font>
    <font>
      <sz val="12"/>
      <color rgb="FF800000"/>
      <name val="Calibri"/>
      <family val="2"/>
    </font>
    <font>
      <b/>
      <sz val="12"/>
      <color rgb="FF008000"/>
      <name val="新細明體"/>
      <family val="1"/>
      <charset val="136"/>
    </font>
    <font>
      <sz val="10"/>
      <color rgb="FF800000"/>
      <name val="Calibri"/>
      <family val="2"/>
    </font>
    <font>
      <b/>
      <sz val="14"/>
      <name val="新細明體"/>
      <family val="1"/>
      <charset val="136"/>
      <scheme val="minor"/>
    </font>
    <font>
      <b/>
      <sz val="11"/>
      <color rgb="FF008000"/>
      <name val="細明體"/>
      <family val="3"/>
      <charset val="136"/>
    </font>
    <font>
      <sz val="12"/>
      <color rgb="FF0000FF"/>
      <name val="Calibri"/>
      <family val="2"/>
    </font>
    <font>
      <sz val="11"/>
      <color rgb="FF800000"/>
      <name val="細明體"/>
      <family val="3"/>
      <charset val="136"/>
    </font>
    <font>
      <sz val="12"/>
      <color rgb="FFFF0000"/>
      <name val="Calibri"/>
      <family val="2"/>
    </font>
    <font>
      <sz val="12"/>
      <color theme="3"/>
      <name val="Calibri"/>
      <family val="2"/>
    </font>
    <font>
      <b/>
      <sz val="12"/>
      <color theme="3"/>
      <name val="Calibri"/>
      <family val="2"/>
    </font>
    <font>
      <b/>
      <sz val="14"/>
      <color rgb="FF00B0F0"/>
      <name val="新細明體"/>
      <family val="1"/>
      <charset val="136"/>
      <scheme val="minor"/>
    </font>
    <font>
      <sz val="11"/>
      <color rgb="FF008000"/>
      <name val="Calibri"/>
      <family val="2"/>
    </font>
    <font>
      <b/>
      <sz val="11"/>
      <color rgb="FF008000"/>
      <name val="新細明體"/>
      <family val="1"/>
      <charset val="136"/>
    </font>
    <font>
      <b/>
      <sz val="11"/>
      <name val="新細明體"/>
      <family val="1"/>
      <charset val="136"/>
      <scheme val="minor"/>
    </font>
    <font>
      <b/>
      <sz val="11"/>
      <color rgb="FF008000"/>
      <name val="新細明體"/>
      <family val="1"/>
      <charset val="136"/>
      <scheme val="minor"/>
    </font>
    <font>
      <b/>
      <sz val="11"/>
      <color rgb="FFFF0000"/>
      <name val="新細明體"/>
      <family val="1"/>
      <charset val="136"/>
    </font>
    <font>
      <b/>
      <sz val="11"/>
      <color rgb="FF00B0F0"/>
      <name val="新細明體"/>
      <family val="1"/>
      <charset val="136"/>
      <scheme val="minor"/>
    </font>
    <font>
      <b/>
      <sz val="11"/>
      <color rgb="FF008000"/>
      <name val="Calibri"/>
      <family val="2"/>
    </font>
    <font>
      <sz val="12"/>
      <color rgb="FF006600"/>
      <name val="Calibri"/>
      <family val="2"/>
    </font>
    <font>
      <sz val="12"/>
      <color rgb="FFFF00FF"/>
      <name val="Calibri"/>
      <family val="2"/>
    </font>
    <font>
      <sz val="11"/>
      <color rgb="FF0000FF"/>
      <name val="細明體"/>
      <family val="3"/>
      <charset val="136"/>
    </font>
    <font>
      <sz val="10"/>
      <color theme="3"/>
      <name val="Calibri"/>
      <family val="2"/>
    </font>
    <font>
      <sz val="10"/>
      <color rgb="FFFF0000"/>
      <name val="Calibri"/>
      <family val="2"/>
    </font>
    <font>
      <sz val="11"/>
      <color rgb="FF006600"/>
      <name val="細明體"/>
      <family val="3"/>
      <charset val="136"/>
    </font>
    <font>
      <b/>
      <sz val="11"/>
      <color rgb="FFFF0000"/>
      <name val="新細明體"/>
      <family val="1"/>
      <charset val="136"/>
      <scheme val="minor"/>
    </font>
    <font>
      <sz val="12"/>
      <color rgb="FF660066"/>
      <name val="Calibri"/>
      <family val="2"/>
    </font>
  </fonts>
  <fills count="6">
    <fill>
      <patternFill patternType="none"/>
    </fill>
    <fill>
      <patternFill patternType="gray125"/>
    </fill>
    <fill>
      <patternFill patternType="solid">
        <fgColor rgb="FFFF99CC"/>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FF00"/>
        <bgColor indexed="64"/>
      </patternFill>
    </fill>
  </fills>
  <borders count="49">
    <border>
      <left/>
      <right/>
      <top/>
      <bottom/>
      <diagonal/>
    </border>
    <border>
      <left/>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double">
        <color indexed="64"/>
      </top>
      <bottom/>
      <diagonal/>
    </border>
    <border>
      <left style="hair">
        <color indexed="64"/>
      </left>
      <right style="hair">
        <color indexed="64"/>
      </right>
      <top/>
      <bottom style="double">
        <color indexed="64"/>
      </bottom>
      <diagonal/>
    </border>
    <border>
      <left/>
      <right style="thin">
        <color indexed="64"/>
      </right>
      <top style="thin">
        <color indexed="64"/>
      </top>
      <bottom/>
      <diagonal/>
    </border>
    <border>
      <left/>
      <right style="thin">
        <color indexed="64"/>
      </right>
      <top/>
      <bottom style="double">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8"/>
      </left>
      <right/>
      <top style="hair">
        <color indexed="64"/>
      </top>
      <bottom style="hair">
        <color indexed="64"/>
      </bottom>
      <diagonal/>
    </border>
    <border>
      <left style="hair">
        <color indexed="64"/>
      </left>
      <right style="thin">
        <color indexed="64"/>
      </right>
      <top style="double">
        <color indexed="64"/>
      </top>
      <bottom/>
      <diagonal/>
    </border>
    <border>
      <left style="hair">
        <color indexed="64"/>
      </left>
      <right style="thin">
        <color indexed="64"/>
      </right>
      <top/>
      <bottom style="double">
        <color indexed="64"/>
      </bottom>
      <diagonal/>
    </border>
    <border>
      <left style="thin">
        <color indexed="64"/>
      </left>
      <right style="hair">
        <color indexed="64"/>
      </right>
      <top style="double">
        <color indexed="64"/>
      </top>
      <bottom/>
      <diagonal/>
    </border>
    <border>
      <left style="hair">
        <color indexed="64"/>
      </left>
      <right/>
      <top/>
      <bottom style="double">
        <color indexed="64"/>
      </bottom>
      <diagonal/>
    </border>
    <border>
      <left style="hair">
        <color indexed="64"/>
      </left>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right style="thin">
        <color indexed="64"/>
      </right>
      <top style="hair">
        <color indexed="64"/>
      </top>
      <bottom style="hair">
        <color indexed="64"/>
      </bottom>
      <diagonal/>
    </border>
    <border>
      <left/>
      <right style="thin">
        <color indexed="64"/>
      </right>
      <top style="double">
        <color indexed="64"/>
      </top>
      <bottom/>
      <diagonal/>
    </border>
    <border>
      <left style="hair">
        <color indexed="64"/>
      </left>
      <right/>
      <top style="double">
        <color indexed="64"/>
      </top>
      <bottom/>
      <diagonal/>
    </border>
    <border>
      <left/>
      <right/>
      <top style="thin">
        <color indexed="64"/>
      </top>
      <bottom/>
      <diagonal/>
    </border>
    <border>
      <left/>
      <right/>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top style="double">
        <color indexed="64"/>
      </top>
      <bottom style="hair">
        <color indexed="64"/>
      </bottom>
      <diagonal/>
    </border>
    <border>
      <left style="hair">
        <color indexed="8"/>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8"/>
      </top>
      <bottom/>
      <diagonal/>
    </border>
    <border>
      <left/>
      <right style="hair">
        <color indexed="64"/>
      </right>
      <top style="hair">
        <color indexed="64"/>
      </top>
      <bottom/>
      <diagonal/>
    </border>
    <border>
      <left/>
      <right/>
      <top style="hair">
        <color indexed="64"/>
      </top>
      <bottom style="medium">
        <color indexed="64"/>
      </bottom>
      <diagonal/>
    </border>
    <border>
      <left style="thin">
        <color indexed="64"/>
      </left>
      <right/>
      <top style="hair">
        <color indexed="64"/>
      </top>
      <bottom style="medium">
        <color indexed="64"/>
      </bottom>
      <diagonal/>
    </border>
    <border>
      <left/>
      <right/>
      <top style="double">
        <color indexed="64"/>
      </top>
      <bottom/>
      <diagonal/>
    </border>
    <border>
      <left style="thin">
        <color indexed="64"/>
      </left>
      <right style="hair">
        <color indexed="64"/>
      </right>
      <top/>
      <bottom style="double">
        <color indexed="64"/>
      </bottom>
      <diagonal/>
    </border>
    <border>
      <left style="thin">
        <color indexed="64"/>
      </left>
      <right/>
      <top style="thin">
        <color indexed="64"/>
      </top>
      <bottom/>
      <diagonal/>
    </border>
    <border>
      <left style="thin">
        <color indexed="64"/>
      </left>
      <right/>
      <top/>
      <bottom style="double">
        <color indexed="64"/>
      </bottom>
      <diagonal/>
    </border>
    <border>
      <left/>
      <right style="thin">
        <color indexed="64"/>
      </right>
      <top style="double">
        <color indexed="64"/>
      </top>
      <bottom style="hair">
        <color indexed="64"/>
      </bottom>
      <diagonal/>
    </border>
  </borders>
  <cellStyleXfs count="1">
    <xf numFmtId="0" fontId="0" fillId="0" borderId="0">
      <alignment vertical="center"/>
    </xf>
  </cellStyleXfs>
  <cellXfs count="152">
    <xf numFmtId="0" fontId="0" fillId="0" borderId="0" xfId="0">
      <alignment vertical="center"/>
    </xf>
    <xf numFmtId="0" fontId="2"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left" vertical="center"/>
    </xf>
    <xf numFmtId="0" fontId="2" fillId="0" borderId="1" xfId="0" applyFont="1" applyBorder="1" applyAlignment="1">
      <alignment horizontal="center" vertical="center"/>
    </xf>
    <xf numFmtId="0" fontId="2" fillId="0" borderId="0" xfId="0" applyFont="1" applyAlignment="1">
      <alignment horizontal="center" vertical="center" wrapText="1"/>
    </xf>
    <xf numFmtId="0" fontId="17" fillId="0" borderId="0" xfId="0" applyFont="1" applyAlignment="1">
      <alignment horizontal="center" vertical="center"/>
    </xf>
    <xf numFmtId="177" fontId="11" fillId="0" borderId="0" xfId="0" applyNumberFormat="1" applyFont="1" applyAlignment="1">
      <alignment horizontal="center" vertical="center"/>
    </xf>
    <xf numFmtId="177" fontId="11" fillId="0" borderId="2" xfId="0" applyNumberFormat="1" applyFont="1" applyBorder="1" applyAlignment="1">
      <alignment horizontal="center" vertical="center"/>
    </xf>
    <xf numFmtId="176" fontId="18" fillId="0" borderId="3" xfId="0" applyNumberFormat="1" applyFont="1" applyBorder="1" applyAlignment="1">
      <alignment horizontal="center" vertical="center"/>
    </xf>
    <xf numFmtId="178" fontId="19" fillId="0" borderId="4" xfId="0" applyNumberFormat="1" applyFont="1" applyBorder="1" applyAlignment="1">
      <alignment horizontal="center" vertical="center"/>
    </xf>
    <xf numFmtId="177" fontId="2" fillId="0" borderId="0" xfId="0" applyNumberFormat="1" applyFont="1" applyAlignment="1">
      <alignment horizontal="center" vertical="center"/>
    </xf>
    <xf numFmtId="0" fontId="20" fillId="0" borderId="0" xfId="0" applyFont="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177" fontId="6" fillId="0" borderId="0" xfId="0" applyNumberFormat="1" applyFont="1" applyAlignment="1">
      <alignment horizontal="center"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177" fontId="21" fillId="0" borderId="4" xfId="0" applyNumberFormat="1" applyFont="1" applyBorder="1" applyAlignment="1">
      <alignment horizontal="center" vertical="center"/>
    </xf>
    <xf numFmtId="177" fontId="3" fillId="0" borderId="9" xfId="0" applyNumberFormat="1" applyFont="1" applyBorder="1" applyAlignment="1">
      <alignment horizontal="center" vertical="center"/>
    </xf>
    <xf numFmtId="178" fontId="19" fillId="0" borderId="10" xfId="0" applyNumberFormat="1" applyFont="1" applyBorder="1" applyAlignment="1">
      <alignment horizontal="center" vertical="center"/>
    </xf>
    <xf numFmtId="177" fontId="3" fillId="0" borderId="11" xfId="0" applyNumberFormat="1" applyFont="1" applyBorder="1" applyAlignment="1">
      <alignment horizontal="center" vertical="center"/>
    </xf>
    <xf numFmtId="0" fontId="6" fillId="0" borderId="12" xfId="0" applyFont="1" applyBorder="1" applyAlignment="1">
      <alignment horizontal="center" vertical="center"/>
    </xf>
    <xf numFmtId="0" fontId="2" fillId="0" borderId="13" xfId="0" applyFont="1" applyBorder="1" applyAlignment="1">
      <alignment horizontal="center" vertical="center"/>
    </xf>
    <xf numFmtId="0" fontId="22" fillId="0" borderId="8" xfId="0" applyFont="1" applyBorder="1" applyAlignment="1">
      <alignment horizontal="center" vertical="center" wrapText="1"/>
    </xf>
    <xf numFmtId="179" fontId="23" fillId="0" borderId="4" xfId="0" applyNumberFormat="1" applyFont="1" applyBorder="1" applyAlignment="1">
      <alignment horizontal="center" vertical="center"/>
    </xf>
    <xf numFmtId="179" fontId="23" fillId="0" borderId="10" xfId="0" applyNumberFormat="1" applyFont="1" applyBorder="1" applyAlignment="1">
      <alignment horizontal="center" vertical="center"/>
    </xf>
    <xf numFmtId="0" fontId="6" fillId="0" borderId="4" xfId="0" applyFont="1" applyBorder="1" applyAlignment="1">
      <alignment horizontal="center" vertical="center" wrapText="1"/>
    </xf>
    <xf numFmtId="0" fontId="24" fillId="0" borderId="5" xfId="0" applyFont="1" applyBorder="1" applyAlignment="1">
      <alignment vertical="center" wrapText="1"/>
    </xf>
    <xf numFmtId="0" fontId="24" fillId="0" borderId="6" xfId="0" applyFont="1" applyBorder="1" applyAlignment="1">
      <alignment vertical="center" wrapText="1"/>
    </xf>
    <xf numFmtId="177" fontId="11" fillId="0" borderId="14" xfId="0" applyNumberFormat="1" applyFont="1" applyBorder="1" applyAlignment="1">
      <alignment vertical="center" wrapText="1"/>
    </xf>
    <xf numFmtId="177" fontId="11" fillId="0" borderId="15" xfId="0" applyNumberFormat="1" applyFont="1" applyBorder="1" applyAlignment="1">
      <alignment vertical="center" wrapText="1"/>
    </xf>
    <xf numFmtId="0" fontId="6" fillId="0" borderId="16" xfId="0" applyFont="1" applyBorder="1">
      <alignment vertical="center"/>
    </xf>
    <xf numFmtId="0" fontId="5" fillId="0" borderId="5" xfId="0" applyFont="1" applyBorder="1">
      <alignment vertical="center"/>
    </xf>
    <xf numFmtId="0" fontId="5" fillId="0" borderId="6" xfId="0" applyFont="1" applyBorder="1">
      <alignment vertical="center"/>
    </xf>
    <xf numFmtId="0" fontId="12" fillId="0" borderId="5" xfId="0" applyFont="1" applyBorder="1" applyAlignment="1">
      <alignment vertical="center" wrapText="1"/>
    </xf>
    <xf numFmtId="0" fontId="12" fillId="0" borderId="6" xfId="0" applyFont="1" applyBorder="1" applyAlignment="1">
      <alignment vertical="center" wrapText="1"/>
    </xf>
    <xf numFmtId="177" fontId="7" fillId="0" borderId="17" xfId="0" applyNumberFormat="1" applyFont="1" applyBorder="1">
      <alignment vertical="center"/>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0" xfId="0" applyFont="1" applyAlignment="1">
      <alignment horizontal="left" vertical="center" wrapText="1"/>
    </xf>
    <xf numFmtId="0" fontId="23" fillId="0" borderId="4" xfId="0" applyFont="1" applyBorder="1" applyAlignment="1">
      <alignment horizontal="left" vertical="center" wrapText="1"/>
    </xf>
    <xf numFmtId="0" fontId="6" fillId="0" borderId="1" xfId="0" applyFont="1" applyBorder="1" applyAlignment="1">
      <alignment horizontal="center" vertical="center"/>
    </xf>
    <xf numFmtId="0" fontId="6" fillId="0" borderId="18" xfId="0" applyFont="1" applyBorder="1" applyAlignment="1">
      <alignment horizontal="center" vertical="center"/>
    </xf>
    <xf numFmtId="0" fontId="6" fillId="0" borderId="13" xfId="0" applyFont="1" applyBorder="1" applyAlignment="1">
      <alignment horizontal="center" vertical="center"/>
    </xf>
    <xf numFmtId="0" fontId="6" fillId="0" borderId="19" xfId="0" applyFont="1" applyBorder="1">
      <alignment vertical="center"/>
    </xf>
    <xf numFmtId="178" fontId="19" fillId="0" borderId="21" xfId="0" applyNumberFormat="1" applyFont="1" applyBorder="1" applyAlignment="1">
      <alignment horizontal="center" vertical="center"/>
    </xf>
    <xf numFmtId="177" fontId="21" fillId="0" borderId="21" xfId="0" applyNumberFormat="1" applyFont="1" applyBorder="1" applyAlignment="1">
      <alignment horizontal="center" vertical="center"/>
    </xf>
    <xf numFmtId="179" fontId="23" fillId="0" borderId="21" xfId="0" applyNumberFormat="1" applyFont="1" applyBorder="1" applyAlignment="1">
      <alignment horizontal="center" vertical="center"/>
    </xf>
    <xf numFmtId="177" fontId="3" fillId="0" borderId="22" xfId="0" applyNumberFormat="1" applyFont="1" applyBorder="1" applyAlignment="1">
      <alignment horizontal="center" vertical="center"/>
    </xf>
    <xf numFmtId="176" fontId="18" fillId="0" borderId="23" xfId="0" applyNumberFormat="1" applyFont="1" applyBorder="1" applyAlignment="1">
      <alignment horizontal="center" vertical="center"/>
    </xf>
    <xf numFmtId="177" fontId="11" fillId="0" borderId="24" xfId="0" applyNumberFormat="1" applyFont="1" applyBorder="1" applyAlignment="1">
      <alignment horizontal="center" vertical="center"/>
    </xf>
    <xf numFmtId="0" fontId="25" fillId="0" borderId="4" xfId="0" applyFont="1" applyBorder="1" applyAlignment="1">
      <alignment horizontal="left" vertical="center" wrapText="1"/>
    </xf>
    <xf numFmtId="0" fontId="26" fillId="0" borderId="10" xfId="0" applyFont="1" applyBorder="1" applyAlignment="1">
      <alignment horizontal="center" vertical="center" wrapText="1"/>
    </xf>
    <xf numFmtId="0" fontId="26" fillId="0" borderId="4" xfId="0" applyFont="1" applyBorder="1" applyAlignment="1">
      <alignment horizontal="center" vertical="center" wrapText="1"/>
    </xf>
    <xf numFmtId="0" fontId="27" fillId="0" borderId="4" xfId="0" applyFont="1" applyBorder="1" applyAlignment="1">
      <alignment horizontal="left" vertical="center" wrapText="1"/>
    </xf>
    <xf numFmtId="0" fontId="26" fillId="0" borderId="4" xfId="0" applyFont="1" applyBorder="1" applyAlignment="1">
      <alignment horizontal="left" vertical="center" wrapText="1"/>
    </xf>
    <xf numFmtId="0" fontId="26" fillId="0" borderId="21" xfId="0" applyFont="1" applyBorder="1" applyAlignment="1">
      <alignment horizontal="center" vertical="center" wrapText="1"/>
    </xf>
    <xf numFmtId="177" fontId="21" fillId="0" borderId="25" xfId="0" applyNumberFormat="1" applyFont="1" applyBorder="1" applyAlignment="1">
      <alignment horizontal="center" vertical="center"/>
    </xf>
    <xf numFmtId="177" fontId="28" fillId="0" borderId="25" xfId="0" applyNumberFormat="1" applyFont="1" applyBorder="1" applyAlignment="1">
      <alignment horizontal="center" vertical="center"/>
    </xf>
    <xf numFmtId="0" fontId="22" fillId="0" borderId="26" xfId="0" applyFont="1" applyBorder="1" applyAlignment="1">
      <alignment vertical="center" wrapText="1"/>
    </xf>
    <xf numFmtId="177" fontId="7" fillId="0" borderId="27" xfId="0" applyNumberFormat="1" applyFont="1" applyBorder="1" applyAlignment="1">
      <alignment horizontal="center" vertical="center" wrapText="1"/>
    </xf>
    <xf numFmtId="177" fontId="7" fillId="0" borderId="17" xfId="0" applyNumberFormat="1" applyFont="1" applyBorder="1" applyAlignment="1">
      <alignment horizontal="center" vertical="center" wrapText="1"/>
    </xf>
    <xf numFmtId="0" fontId="4" fillId="0" borderId="28" xfId="0" applyFont="1" applyBorder="1" applyAlignment="1">
      <alignment horizontal="center" vertical="center"/>
    </xf>
    <xf numFmtId="0" fontId="29" fillId="0" borderId="28" xfId="0" applyFont="1" applyBorder="1" applyAlignment="1">
      <alignment horizontal="center" vertical="center"/>
    </xf>
    <xf numFmtId="0" fontId="4" fillId="0" borderId="29" xfId="0" applyFont="1" applyBorder="1" applyAlignment="1">
      <alignment horizontal="center" vertical="center"/>
    </xf>
    <xf numFmtId="0" fontId="29" fillId="0" borderId="29" xfId="0" applyFont="1" applyBorder="1" applyAlignment="1">
      <alignment horizontal="center" vertical="center"/>
    </xf>
    <xf numFmtId="177" fontId="15" fillId="0" borderId="29" xfId="0" applyNumberFormat="1" applyFont="1" applyBorder="1" applyAlignment="1">
      <alignment horizontal="center" vertical="center"/>
    </xf>
    <xf numFmtId="0" fontId="16" fillId="0" borderId="10" xfId="0" applyFont="1" applyBorder="1" applyAlignment="1">
      <alignment horizontal="center" vertical="center"/>
    </xf>
    <xf numFmtId="178" fontId="30" fillId="0" borderId="10" xfId="0" applyNumberFormat="1" applyFont="1" applyBorder="1" applyAlignment="1">
      <alignment horizontal="center" vertical="center"/>
    </xf>
    <xf numFmtId="0" fontId="16" fillId="0" borderId="4" xfId="0" applyFont="1" applyBorder="1" applyAlignment="1">
      <alignment horizontal="center" vertical="center"/>
    </xf>
    <xf numFmtId="178" fontId="30" fillId="0" borderId="4" xfId="0" applyNumberFormat="1" applyFont="1" applyBorder="1" applyAlignment="1">
      <alignment horizontal="center" vertical="center"/>
    </xf>
    <xf numFmtId="177" fontId="31" fillId="0" borderId="12" xfId="0" applyNumberFormat="1" applyFont="1" applyBorder="1" applyAlignment="1">
      <alignment horizontal="center" vertical="center"/>
    </xf>
    <xf numFmtId="177" fontId="31" fillId="0" borderId="4" xfId="0" applyNumberFormat="1" applyFont="1" applyBorder="1" applyAlignment="1">
      <alignment horizontal="center" vertical="center"/>
    </xf>
    <xf numFmtId="178" fontId="32" fillId="0" borderId="4" xfId="0" applyNumberFormat="1" applyFont="1" applyBorder="1" applyAlignment="1">
      <alignment horizontal="center" vertical="center"/>
    </xf>
    <xf numFmtId="178" fontId="33" fillId="0" borderId="4" xfId="0" applyNumberFormat="1" applyFont="1" applyBorder="1" applyAlignment="1">
      <alignment horizontal="center" vertical="center"/>
    </xf>
    <xf numFmtId="177" fontId="34" fillId="0" borderId="12" xfId="0" applyNumberFormat="1" applyFont="1" applyBorder="1" applyAlignment="1">
      <alignment horizontal="center" vertical="center"/>
    </xf>
    <xf numFmtId="177" fontId="34" fillId="0" borderId="4" xfId="0" applyNumberFormat="1" applyFont="1" applyBorder="1" applyAlignment="1">
      <alignment horizontal="center" vertical="center"/>
    </xf>
    <xf numFmtId="178" fontId="32" fillId="0" borderId="21" xfId="0" applyNumberFormat="1" applyFont="1" applyBorder="1" applyAlignment="1">
      <alignment horizontal="center" vertical="center"/>
    </xf>
    <xf numFmtId="178" fontId="30" fillId="0" borderId="21" xfId="0" applyNumberFormat="1" applyFont="1" applyBorder="1" applyAlignment="1">
      <alignment horizontal="center" vertical="center"/>
    </xf>
    <xf numFmtId="177" fontId="4" fillId="0" borderId="0" xfId="0" applyNumberFormat="1" applyFont="1" applyAlignment="1">
      <alignment horizontal="center" vertical="center"/>
    </xf>
    <xf numFmtId="0" fontId="35" fillId="0" borderId="0" xfId="0" applyFont="1" applyAlignment="1">
      <alignment horizontal="center" vertical="center"/>
    </xf>
    <xf numFmtId="177" fontId="21" fillId="0" borderId="3" xfId="0" applyNumberFormat="1" applyFont="1" applyBorder="1" applyAlignment="1">
      <alignment horizontal="center" vertical="center"/>
    </xf>
    <xf numFmtId="0" fontId="36" fillId="0" borderId="4" xfId="0" applyFont="1" applyBorder="1" applyAlignment="1">
      <alignment horizontal="center" vertical="center" wrapText="1"/>
    </xf>
    <xf numFmtId="0" fontId="2" fillId="0" borderId="0" xfId="0" applyFont="1" applyAlignment="1">
      <alignment horizontal="left" vertical="center"/>
    </xf>
    <xf numFmtId="0" fontId="37" fillId="0" borderId="4" xfId="0" applyFont="1" applyBorder="1" applyAlignment="1">
      <alignment horizontal="left" vertical="center" wrapText="1"/>
    </xf>
    <xf numFmtId="0" fontId="6" fillId="0" borderId="30" xfId="0" applyFont="1" applyBorder="1" applyAlignment="1">
      <alignment horizontal="center" vertical="center"/>
    </xf>
    <xf numFmtId="0" fontId="4" fillId="0" borderId="31" xfId="0" applyFont="1" applyBorder="1" applyAlignment="1">
      <alignment horizontal="center" vertical="center"/>
    </xf>
    <xf numFmtId="0" fontId="4" fillId="0" borderId="18" xfId="0" applyFont="1" applyBorder="1" applyAlignment="1">
      <alignment horizontal="center" vertical="center"/>
    </xf>
    <xf numFmtId="0" fontId="2" fillId="0" borderId="32" xfId="0" applyFont="1" applyBorder="1" applyAlignment="1">
      <alignment horizontal="center" vertical="center"/>
    </xf>
    <xf numFmtId="0" fontId="25" fillId="0" borderId="10" xfId="0" applyFont="1" applyBorder="1" applyAlignment="1">
      <alignment horizontal="left" vertical="center" wrapText="1"/>
    </xf>
    <xf numFmtId="177" fontId="34" fillId="0" borderId="20" xfId="0" applyNumberFormat="1" applyFont="1" applyBorder="1" applyAlignment="1">
      <alignment horizontal="center" vertical="center"/>
    </xf>
    <xf numFmtId="177" fontId="34" fillId="0" borderId="21" xfId="0" applyNumberFormat="1" applyFont="1" applyBorder="1" applyAlignment="1">
      <alignment horizontal="center" vertical="center"/>
    </xf>
    <xf numFmtId="0" fontId="6" fillId="0" borderId="7" xfId="0" applyFont="1" applyBorder="1">
      <alignment vertical="center"/>
    </xf>
    <xf numFmtId="0" fontId="23" fillId="0" borderId="34" xfId="0" applyFont="1" applyBorder="1" applyAlignment="1">
      <alignment horizontal="left" vertical="center"/>
    </xf>
    <xf numFmtId="0" fontId="6" fillId="0" borderId="9" xfId="0" applyFont="1" applyBorder="1" applyAlignment="1">
      <alignment horizontal="left" vertical="center" wrapText="1"/>
    </xf>
    <xf numFmtId="0" fontId="23" fillId="0" borderId="35" xfId="0" applyFont="1" applyBorder="1" applyAlignment="1">
      <alignment horizontal="left" vertical="center"/>
    </xf>
    <xf numFmtId="0" fontId="6" fillId="0" borderId="36" xfId="0" applyFont="1" applyBorder="1" applyAlignment="1">
      <alignment horizontal="left" vertical="center" wrapText="1"/>
    </xf>
    <xf numFmtId="0" fontId="23" fillId="0" borderId="37" xfId="0" applyFont="1" applyBorder="1" applyAlignment="1">
      <alignment horizontal="left" vertical="center"/>
    </xf>
    <xf numFmtId="0" fontId="6" fillId="0" borderId="25" xfId="0" applyFont="1" applyBorder="1" applyAlignment="1">
      <alignment horizontal="left" vertical="center" wrapText="1"/>
    </xf>
    <xf numFmtId="0" fontId="6" fillId="0" borderId="1" xfId="0" applyFont="1" applyBorder="1">
      <alignment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25" xfId="0" applyFont="1" applyBorder="1" applyAlignment="1">
      <alignment vertical="center" wrapText="1"/>
    </xf>
    <xf numFmtId="0" fontId="23" fillId="0" borderId="35" xfId="0" quotePrefix="1" applyFont="1" applyBorder="1" applyAlignment="1">
      <alignment horizontal="left" vertical="center"/>
    </xf>
    <xf numFmtId="0" fontId="23" fillId="0" borderId="35" xfId="0" applyFont="1" applyBorder="1" applyAlignment="1">
      <alignment vertical="center" wrapText="1"/>
    </xf>
    <xf numFmtId="0" fontId="23" fillId="0" borderId="12" xfId="0" applyFont="1" applyBorder="1" applyAlignment="1">
      <alignment vertical="center" wrapText="1"/>
    </xf>
    <xf numFmtId="0" fontId="6" fillId="0" borderId="1" xfId="0" quotePrefix="1" applyFont="1" applyBorder="1" applyAlignment="1">
      <alignment vertical="center" wrapText="1"/>
    </xf>
    <xf numFmtId="0" fontId="6" fillId="0" borderId="25" xfId="0" quotePrefix="1" applyFont="1" applyBorder="1" applyAlignment="1">
      <alignment vertical="center" wrapText="1"/>
    </xf>
    <xf numFmtId="0" fontId="6" fillId="0" borderId="9" xfId="0" applyFont="1" applyBorder="1" applyAlignment="1">
      <alignment vertical="center" wrapText="1"/>
    </xf>
    <xf numFmtId="0" fontId="6" fillId="0" borderId="38" xfId="0" applyFont="1" applyBorder="1" applyAlignment="1">
      <alignment horizontal="left" vertical="center" wrapText="1"/>
    </xf>
    <xf numFmtId="0" fontId="23" fillId="0" borderId="39" xfId="0" applyFont="1" applyBorder="1" applyAlignment="1">
      <alignment horizontal="left" vertical="center"/>
    </xf>
    <xf numFmtId="0" fontId="6" fillId="0" borderId="40" xfId="0" applyFont="1" applyBorder="1" applyAlignment="1">
      <alignment horizontal="left" vertical="center" wrapText="1"/>
    </xf>
    <xf numFmtId="0" fontId="6" fillId="0" borderId="40" xfId="0" applyFont="1" applyBorder="1" applyAlignment="1">
      <alignment horizontal="left" vertical="center"/>
    </xf>
    <xf numFmtId="0" fontId="6" fillId="0" borderId="41" xfId="0" applyFont="1" applyBorder="1" applyAlignment="1">
      <alignment horizontal="left" vertical="center" wrapText="1"/>
    </xf>
    <xf numFmtId="0" fontId="6" fillId="0" borderId="42" xfId="0" applyFont="1" applyBorder="1" applyAlignment="1">
      <alignment horizontal="left" vertical="center" wrapText="1"/>
    </xf>
    <xf numFmtId="0" fontId="23" fillId="0" borderId="43" xfId="0" applyFont="1" applyBorder="1" applyAlignment="1">
      <alignment horizontal="left" vertical="center"/>
    </xf>
    <xf numFmtId="177" fontId="15" fillId="0" borderId="44" xfId="0" applyNumberFormat="1" applyFont="1" applyBorder="1" applyAlignment="1">
      <alignment horizontal="center" vertical="center" wrapText="1"/>
    </xf>
    <xf numFmtId="177" fontId="15" fillId="0" borderId="44" xfId="0" applyNumberFormat="1" applyFont="1" applyBorder="1" applyAlignment="1">
      <alignment vertical="center" wrapText="1"/>
    </xf>
    <xf numFmtId="177" fontId="7" fillId="0" borderId="27" xfId="0" applyNumberFormat="1" applyFont="1" applyBorder="1" applyAlignment="1">
      <alignment horizontal="center" vertical="center"/>
    </xf>
    <xf numFmtId="177" fontId="21" fillId="0" borderId="48" xfId="0" applyNumberFormat="1" applyFont="1" applyBorder="1" applyAlignment="1">
      <alignment horizontal="center" vertical="center"/>
    </xf>
    <xf numFmtId="177" fontId="31" fillId="0" borderId="30" xfId="0" applyNumberFormat="1" applyFont="1" applyBorder="1" applyAlignment="1">
      <alignment horizontal="center" vertical="center"/>
    </xf>
    <xf numFmtId="177" fontId="31" fillId="0" borderId="10" xfId="0" applyNumberFormat="1" applyFont="1" applyBorder="1" applyAlignment="1">
      <alignment horizontal="center" vertical="center"/>
    </xf>
    <xf numFmtId="177" fontId="21" fillId="0" borderId="9" xfId="0" applyNumberFormat="1" applyFont="1" applyBorder="1" applyAlignment="1">
      <alignment horizontal="center" vertical="center"/>
    </xf>
    <xf numFmtId="0" fontId="26" fillId="0" borderId="0" xfId="0" applyFont="1" applyAlignment="1">
      <alignment horizontal="center" vertical="center" wrapText="1"/>
    </xf>
    <xf numFmtId="0" fontId="39" fillId="0" borderId="0" xfId="0" applyFont="1" applyAlignment="1">
      <alignment horizontal="center" vertical="center"/>
    </xf>
    <xf numFmtId="0" fontId="40" fillId="0" borderId="0" xfId="0" applyFont="1" applyAlignment="1">
      <alignment horizontal="center" vertical="center"/>
    </xf>
    <xf numFmtId="177" fontId="21" fillId="0" borderId="33" xfId="0" applyNumberFormat="1" applyFont="1" applyBorder="1" applyAlignment="1">
      <alignment horizontal="center" vertical="center"/>
    </xf>
    <xf numFmtId="0" fontId="6" fillId="2" borderId="25" xfId="0" applyFont="1" applyFill="1" applyBorder="1" applyAlignment="1">
      <alignment vertical="center" wrapText="1"/>
    </xf>
    <xf numFmtId="177" fontId="42" fillId="0" borderId="12" xfId="0" applyNumberFormat="1" applyFont="1" applyBorder="1" applyAlignment="1">
      <alignment horizontal="center" vertical="center"/>
    </xf>
    <xf numFmtId="177" fontId="42" fillId="0" borderId="4" xfId="0" applyNumberFormat="1" applyFont="1" applyBorder="1" applyAlignment="1">
      <alignment horizontal="center" vertical="center"/>
    </xf>
    <xf numFmtId="0" fontId="25" fillId="0" borderId="21" xfId="0" applyFont="1" applyBorder="1" applyAlignment="1">
      <alignment horizontal="left" vertical="center" wrapText="1"/>
    </xf>
    <xf numFmtId="0" fontId="6" fillId="3" borderId="1" xfId="0" applyFont="1" applyFill="1" applyBorder="1" applyAlignment="1">
      <alignment vertical="center" wrapText="1"/>
    </xf>
    <xf numFmtId="0" fontId="23" fillId="3" borderId="35" xfId="0" applyFont="1" applyFill="1" applyBorder="1" applyAlignment="1">
      <alignment horizontal="left" vertical="center"/>
    </xf>
    <xf numFmtId="0" fontId="43" fillId="0" borderId="4" xfId="0" applyFont="1" applyBorder="1" applyAlignment="1">
      <alignment horizontal="left" vertical="center" wrapText="1"/>
    </xf>
    <xf numFmtId="176" fontId="18" fillId="4" borderId="3" xfId="0" applyNumberFormat="1" applyFont="1" applyFill="1" applyBorder="1" applyAlignment="1">
      <alignment horizontal="center" vertical="center"/>
    </xf>
    <xf numFmtId="177" fontId="11" fillId="4" borderId="2" xfId="0" applyNumberFormat="1" applyFont="1" applyFill="1" applyBorder="1" applyAlignment="1">
      <alignment horizontal="center" vertical="center"/>
    </xf>
    <xf numFmtId="177" fontId="28" fillId="5" borderId="25" xfId="0" applyNumberFormat="1" applyFont="1" applyFill="1" applyBorder="1" applyAlignment="1">
      <alignment horizontal="center" vertical="center"/>
    </xf>
    <xf numFmtId="0" fontId="22" fillId="0" borderId="16" xfId="0" applyFont="1" applyBorder="1" applyAlignment="1">
      <alignment horizontal="center" vertical="center" wrapText="1"/>
    </xf>
    <xf numFmtId="0" fontId="22" fillId="0" borderId="45" xfId="0" applyFont="1" applyBorder="1" applyAlignment="1">
      <alignment horizontal="center" vertical="center" wrapText="1"/>
    </xf>
    <xf numFmtId="0" fontId="38" fillId="0" borderId="5" xfId="0" applyFont="1" applyBorder="1" applyAlignment="1">
      <alignment horizontal="center" vertical="center" wrapText="1"/>
    </xf>
    <xf numFmtId="0" fontId="38" fillId="0" borderId="6" xfId="0" applyFont="1" applyBorder="1" applyAlignment="1">
      <alignment horizontal="center" vertical="center" wrapText="1"/>
    </xf>
    <xf numFmtId="177" fontId="4" fillId="0" borderId="14" xfId="0" applyNumberFormat="1" applyFont="1" applyBorder="1" applyAlignment="1">
      <alignment horizontal="center" vertical="center" wrapText="1"/>
    </xf>
    <xf numFmtId="177" fontId="4" fillId="0" borderId="15" xfId="0" applyNumberFormat="1" applyFont="1" applyBorder="1" applyAlignment="1">
      <alignment horizontal="center" vertical="center" wrapText="1"/>
    </xf>
    <xf numFmtId="0" fontId="3" fillId="0" borderId="46" xfId="0" applyFont="1" applyBorder="1" applyAlignment="1">
      <alignment horizontal="left" vertical="center"/>
    </xf>
    <xf numFmtId="0" fontId="3" fillId="0" borderId="28" xfId="0" applyFont="1" applyBorder="1" applyAlignment="1">
      <alignment horizontal="left" vertical="center"/>
    </xf>
    <xf numFmtId="0" fontId="3" fillId="0" borderId="47" xfId="0" applyFont="1" applyBorder="1" applyAlignment="1">
      <alignment horizontal="left" vertical="center"/>
    </xf>
    <xf numFmtId="0" fontId="3" fillId="0" borderId="29" xfId="0" applyFont="1" applyBorder="1" applyAlignment="1">
      <alignment horizontal="left" vertical="center"/>
    </xf>
    <xf numFmtId="177" fontId="41" fillId="0" borderId="44" xfId="0" applyNumberFormat="1" applyFont="1" applyBorder="1" applyAlignment="1">
      <alignment horizontal="center" vertical="center" wrapText="1"/>
    </xf>
    <xf numFmtId="0" fontId="26" fillId="5" borderId="4" xfId="0" applyFont="1" applyFill="1" applyBorder="1" applyAlignment="1">
      <alignment horizontal="center" vertical="center" wrapText="1"/>
    </xf>
    <xf numFmtId="0" fontId="26" fillId="5" borderId="4" xfId="0" applyFont="1" applyFill="1" applyBorder="1" applyAlignment="1">
      <alignment horizontal="left" vertical="center" wrapText="1"/>
    </xf>
    <xf numFmtId="0" fontId="25" fillId="5" borderId="4" xfId="0" applyFont="1" applyFill="1" applyBorder="1" applyAlignment="1">
      <alignment horizontal="left" vertical="center" wrapText="1"/>
    </xf>
  </cellXfs>
  <cellStyles count="1">
    <cellStyle name="一般" xfId="0" builtinId="0"/>
  </cellStyles>
  <dxfs count="0"/>
  <tableStyles count="0" defaultTableStyle="TableStyleMedium9" defaultPivotStyle="PivotStyleLight16"/>
  <colors>
    <mruColors>
      <color rgb="FF660066"/>
      <color rgb="FF0000FF"/>
      <color rgb="FF0066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8AD95-653B-4B8B-BC39-63E8FF8F4122}">
  <sheetPr codeName="工作表2"/>
  <dimension ref="A1:AG163"/>
  <sheetViews>
    <sheetView tabSelected="1" zoomScale="80" zoomScaleNormal="80" workbookViewId="0">
      <pane xSplit="4" ySplit="4" topLeftCell="E102" activePane="bottomRight" state="frozen"/>
      <selection pane="topRight" activeCell="E1" sqref="E1"/>
      <selection pane="bottomLeft" activeCell="A5" sqref="A5"/>
      <selection pane="bottomRight" activeCell="E134" sqref="E134"/>
    </sheetView>
  </sheetViews>
  <sheetFormatPr defaultRowHeight="26.25" x14ac:dyDescent="0.25"/>
  <cols>
    <col min="1" max="1" width="7" style="2" customWidth="1"/>
    <col min="2" max="2" width="0.25" style="1" customWidth="1"/>
    <col min="3" max="3" width="44.875" style="3" customWidth="1"/>
    <col min="4" max="4" width="30" style="5" customWidth="1"/>
    <col min="5" max="5" width="30.5" style="40" customWidth="1"/>
    <col min="6" max="6" width="15.25" style="1" customWidth="1"/>
    <col min="7" max="7" width="15.5" style="15" customWidth="1"/>
    <col min="8" max="9" width="14.125" style="80" customWidth="1"/>
    <col min="10" max="12" width="14.125" style="80" hidden="1" customWidth="1"/>
    <col min="13" max="16" width="8.625" style="80" hidden="1" customWidth="1"/>
    <col min="17" max="25" width="8.625" style="81" hidden="1" customWidth="1"/>
    <col min="26" max="26" width="15.125" style="15" customWidth="1"/>
    <col min="27" max="27" width="15.25" style="6" customWidth="1"/>
    <col min="28" max="28" width="19.25" style="1" customWidth="1"/>
    <col min="29" max="29" width="16.875" style="11" customWidth="1"/>
    <col min="30" max="30" width="3.375" style="1" customWidth="1"/>
    <col min="31" max="31" width="15.625" style="12" customWidth="1"/>
    <col min="32" max="32" width="15.25" style="7" customWidth="1"/>
    <col min="33" max="16384" width="9" style="1"/>
  </cols>
  <sheetData>
    <row r="1" spans="1:32" ht="12.2" customHeight="1" x14ac:dyDescent="0.25">
      <c r="A1" s="144" t="s">
        <v>362</v>
      </c>
      <c r="B1" s="145"/>
      <c r="C1" s="145"/>
      <c r="D1" s="145"/>
      <c r="E1" s="145"/>
      <c r="F1" s="145"/>
      <c r="G1" s="145"/>
      <c r="H1" s="63"/>
      <c r="I1" s="63"/>
      <c r="J1" s="63"/>
      <c r="K1" s="63"/>
      <c r="L1" s="63"/>
      <c r="M1" s="63"/>
      <c r="N1" s="63"/>
      <c r="O1" s="63"/>
      <c r="P1" s="63"/>
      <c r="Q1" s="63"/>
      <c r="R1" s="64"/>
      <c r="S1" s="64"/>
      <c r="T1" s="63"/>
      <c r="U1" s="63"/>
      <c r="V1" s="63"/>
      <c r="W1" s="63"/>
      <c r="X1" s="63"/>
      <c r="Y1" s="63"/>
      <c r="Z1" s="16"/>
      <c r="AA1" s="2"/>
      <c r="AB1" s="2"/>
    </row>
    <row r="2" spans="1:32" ht="13.7" customHeight="1" thickBot="1" x14ac:dyDescent="0.3">
      <c r="A2" s="146"/>
      <c r="B2" s="147"/>
      <c r="C2" s="147"/>
      <c r="D2" s="147"/>
      <c r="E2" s="147"/>
      <c r="F2" s="147"/>
      <c r="G2" s="147"/>
      <c r="H2" s="65"/>
      <c r="I2" s="65"/>
      <c r="J2" s="65"/>
      <c r="K2" s="65"/>
      <c r="L2" s="65"/>
      <c r="M2" s="65"/>
      <c r="N2" s="65"/>
      <c r="O2" s="65"/>
      <c r="P2" s="65"/>
      <c r="Q2" s="65"/>
      <c r="R2" s="66"/>
      <c r="S2" s="66"/>
      <c r="T2" s="65"/>
      <c r="U2" s="65"/>
      <c r="V2" s="65"/>
      <c r="W2" s="65"/>
      <c r="X2" s="65"/>
      <c r="Y2" s="65"/>
      <c r="Z2" s="17"/>
      <c r="AA2" s="2"/>
      <c r="AB2" s="2"/>
    </row>
    <row r="3" spans="1:32" ht="67.5" customHeight="1" thickTop="1" thickBot="1" x14ac:dyDescent="0.3">
      <c r="A3" s="32" t="s">
        <v>3</v>
      </c>
      <c r="B3" s="13"/>
      <c r="C3" s="33" t="s">
        <v>2</v>
      </c>
      <c r="D3" s="35" t="s">
        <v>0</v>
      </c>
      <c r="E3" s="38"/>
      <c r="F3" s="119" t="s">
        <v>27</v>
      </c>
      <c r="G3" s="61" t="s">
        <v>29</v>
      </c>
      <c r="H3" s="148"/>
      <c r="I3" s="148"/>
      <c r="J3" s="148"/>
      <c r="K3" s="118"/>
      <c r="L3" s="118"/>
      <c r="M3" s="118"/>
      <c r="N3" s="118"/>
      <c r="O3" s="118"/>
      <c r="P3" s="118"/>
      <c r="Q3" s="118"/>
      <c r="R3" s="118"/>
      <c r="S3" s="118"/>
      <c r="T3" s="118"/>
      <c r="U3" s="118"/>
      <c r="V3" s="118"/>
      <c r="W3" s="118"/>
      <c r="X3" s="118"/>
      <c r="Y3" s="118"/>
      <c r="Z3" s="60"/>
      <c r="AA3" s="138" t="s">
        <v>4</v>
      </c>
      <c r="AB3" s="140" t="s">
        <v>281</v>
      </c>
      <c r="AC3" s="142" t="s">
        <v>5</v>
      </c>
      <c r="AE3" s="28" t="s">
        <v>6</v>
      </c>
      <c r="AF3" s="30"/>
    </row>
    <row r="4" spans="1:32" ht="72.75" customHeight="1" thickTop="1" thickBot="1" x14ac:dyDescent="0.3">
      <c r="A4" s="45"/>
      <c r="B4" s="14"/>
      <c r="C4" s="34"/>
      <c r="D4" s="36" t="s">
        <v>1</v>
      </c>
      <c r="E4" s="39"/>
      <c r="F4" s="37"/>
      <c r="G4" s="62"/>
      <c r="H4" s="117"/>
      <c r="I4" s="117"/>
      <c r="J4" s="67"/>
      <c r="K4" s="67"/>
      <c r="L4" s="67"/>
      <c r="M4" s="67"/>
      <c r="N4" s="67"/>
      <c r="O4" s="67"/>
      <c r="P4" s="67"/>
      <c r="Q4" s="67"/>
      <c r="R4" s="67"/>
      <c r="S4" s="67"/>
      <c r="T4" s="67"/>
      <c r="U4" s="67"/>
      <c r="V4" s="67"/>
      <c r="W4" s="67"/>
      <c r="X4" s="67"/>
      <c r="Y4" s="67"/>
      <c r="Z4" s="24" t="s">
        <v>30</v>
      </c>
      <c r="AA4" s="139"/>
      <c r="AB4" s="141"/>
      <c r="AC4" s="143"/>
      <c r="AE4" s="29"/>
      <c r="AF4" s="31"/>
    </row>
    <row r="5" spans="1:32" ht="36" customHeight="1" thickTop="1" x14ac:dyDescent="0.25">
      <c r="A5" s="86">
        <v>1</v>
      </c>
      <c r="B5" s="87"/>
      <c r="C5" s="93" t="s">
        <v>172</v>
      </c>
      <c r="D5" s="94" t="s">
        <v>54</v>
      </c>
      <c r="E5" s="90" t="s">
        <v>334</v>
      </c>
      <c r="F5" s="53">
        <v>8100</v>
      </c>
      <c r="G5" s="120">
        <v>687</v>
      </c>
      <c r="H5" s="121"/>
      <c r="I5" s="122"/>
      <c r="J5" s="122"/>
      <c r="K5" s="122"/>
      <c r="L5" s="122"/>
      <c r="M5" s="122"/>
      <c r="N5" s="122"/>
      <c r="O5" s="122"/>
      <c r="P5" s="122"/>
      <c r="Q5" s="68"/>
      <c r="R5" s="69"/>
      <c r="S5" s="69"/>
      <c r="T5" s="69"/>
      <c r="U5" s="69"/>
      <c r="V5" s="69"/>
      <c r="W5" s="69"/>
      <c r="X5" s="69"/>
      <c r="Y5" s="69"/>
      <c r="Z5" s="82">
        <f t="shared" ref="Z5:Z69" si="0">G5+H5+I5+J5+K5+L5+M5+N5+O5+P5+Q5+R5+S5+T5+U5+V5+W5+X5+Y5</f>
        <v>687</v>
      </c>
      <c r="AA5" s="20">
        <f t="shared" ref="AA5:AA36" si="1">F5+Z5</f>
        <v>8787</v>
      </c>
      <c r="AB5" s="26">
        <v>8787</v>
      </c>
      <c r="AC5" s="21">
        <f t="shared" ref="AC5:AC36" si="2">AA5-AB5</f>
        <v>0</v>
      </c>
      <c r="AE5" s="9">
        <v>8787</v>
      </c>
      <c r="AF5" s="8">
        <f t="shared" ref="AF5:AF70" si="3">AE5-AA5</f>
        <v>0</v>
      </c>
    </row>
    <row r="6" spans="1:32" ht="36" customHeight="1" x14ac:dyDescent="0.25">
      <c r="A6" s="22">
        <v>2</v>
      </c>
      <c r="B6" s="88"/>
      <c r="C6" s="95" t="s">
        <v>173</v>
      </c>
      <c r="D6" s="96" t="s">
        <v>55</v>
      </c>
      <c r="E6" s="56">
        <v>900</v>
      </c>
      <c r="F6" s="54">
        <v>900</v>
      </c>
      <c r="G6" s="58">
        <v>133</v>
      </c>
      <c r="H6" s="72"/>
      <c r="I6" s="73"/>
      <c r="J6" s="73"/>
      <c r="K6" s="73"/>
      <c r="L6" s="73"/>
      <c r="M6" s="73"/>
      <c r="N6" s="73"/>
      <c r="O6" s="73"/>
      <c r="P6" s="73"/>
      <c r="Q6" s="70"/>
      <c r="R6" s="71"/>
      <c r="S6" s="71"/>
      <c r="T6" s="71"/>
      <c r="U6" s="71"/>
      <c r="V6" s="71"/>
      <c r="W6" s="71"/>
      <c r="X6" s="71"/>
      <c r="Y6" s="71"/>
      <c r="Z6" s="18">
        <f t="shared" si="0"/>
        <v>133</v>
      </c>
      <c r="AA6" s="10">
        <f t="shared" si="1"/>
        <v>1033</v>
      </c>
      <c r="AB6" s="25">
        <v>1036</v>
      </c>
      <c r="AC6" s="19">
        <f t="shared" si="2"/>
        <v>-3</v>
      </c>
      <c r="AE6" s="9">
        <v>1033</v>
      </c>
      <c r="AF6" s="8">
        <f t="shared" si="3"/>
        <v>0</v>
      </c>
    </row>
    <row r="7" spans="1:32" ht="30.2" customHeight="1" x14ac:dyDescent="0.25">
      <c r="A7" s="22">
        <v>3</v>
      </c>
      <c r="B7" s="4"/>
      <c r="C7" s="97" t="s">
        <v>11</v>
      </c>
      <c r="D7" s="98" t="s">
        <v>56</v>
      </c>
      <c r="E7" s="52" t="s">
        <v>355</v>
      </c>
      <c r="F7" s="83">
        <v>1400</v>
      </c>
      <c r="G7" s="59">
        <v>99</v>
      </c>
      <c r="H7" s="72"/>
      <c r="I7" s="73"/>
      <c r="J7" s="73"/>
      <c r="K7" s="73"/>
      <c r="L7" s="73"/>
      <c r="M7" s="73"/>
      <c r="N7" s="73"/>
      <c r="O7" s="73"/>
      <c r="P7" s="73"/>
      <c r="Q7" s="70"/>
      <c r="R7" s="71"/>
      <c r="S7" s="71"/>
      <c r="T7" s="71"/>
      <c r="U7" s="71"/>
      <c r="V7" s="71"/>
      <c r="W7" s="71"/>
      <c r="X7" s="71"/>
      <c r="Y7" s="71"/>
      <c r="Z7" s="18">
        <f t="shared" si="0"/>
        <v>99</v>
      </c>
      <c r="AA7" s="10">
        <f t="shared" si="1"/>
        <v>1499</v>
      </c>
      <c r="AB7" s="25">
        <v>1499</v>
      </c>
      <c r="AC7" s="19">
        <f t="shared" si="2"/>
        <v>0</v>
      </c>
      <c r="AE7" s="9">
        <v>1499</v>
      </c>
      <c r="AF7" s="8">
        <f t="shared" si="3"/>
        <v>0</v>
      </c>
    </row>
    <row r="8" spans="1:32" ht="30.2" customHeight="1" x14ac:dyDescent="0.25">
      <c r="A8" s="22">
        <v>4</v>
      </c>
      <c r="B8" s="4"/>
      <c r="C8" s="97" t="s">
        <v>174</v>
      </c>
      <c r="D8" s="98" t="s">
        <v>57</v>
      </c>
      <c r="E8" s="52">
        <v>0</v>
      </c>
      <c r="F8" s="54">
        <v>0</v>
      </c>
      <c r="G8" s="58">
        <v>653</v>
      </c>
      <c r="H8" s="72"/>
      <c r="I8" s="73"/>
      <c r="J8" s="73"/>
      <c r="K8" s="73"/>
      <c r="L8" s="73"/>
      <c r="M8" s="73"/>
      <c r="N8" s="73"/>
      <c r="O8" s="73"/>
      <c r="P8" s="73"/>
      <c r="Q8" s="70"/>
      <c r="R8" s="71"/>
      <c r="S8" s="71"/>
      <c r="T8" s="71"/>
      <c r="U8" s="71"/>
      <c r="V8" s="71"/>
      <c r="W8" s="71"/>
      <c r="X8" s="71"/>
      <c r="Y8" s="71"/>
      <c r="Z8" s="18">
        <f t="shared" si="0"/>
        <v>653</v>
      </c>
      <c r="AA8" s="10">
        <f t="shared" si="1"/>
        <v>653</v>
      </c>
      <c r="AB8" s="25">
        <v>656</v>
      </c>
      <c r="AC8" s="19">
        <f t="shared" si="2"/>
        <v>-3</v>
      </c>
      <c r="AE8" s="9">
        <v>653</v>
      </c>
      <c r="AF8" s="8">
        <f t="shared" si="3"/>
        <v>0</v>
      </c>
    </row>
    <row r="9" spans="1:32" ht="30.2" customHeight="1" x14ac:dyDescent="0.25">
      <c r="A9" s="22">
        <v>5</v>
      </c>
      <c r="B9" s="4"/>
      <c r="C9" s="97">
        <v>469990516</v>
      </c>
      <c r="D9" s="98" t="s">
        <v>58</v>
      </c>
      <c r="E9" s="52" t="s">
        <v>339</v>
      </c>
      <c r="F9" s="54">
        <v>2640</v>
      </c>
      <c r="G9" s="59">
        <v>1316</v>
      </c>
      <c r="H9" s="76"/>
      <c r="I9" s="77"/>
      <c r="J9" s="77"/>
      <c r="K9" s="77"/>
      <c r="L9" s="77"/>
      <c r="M9" s="77"/>
      <c r="N9" s="77"/>
      <c r="O9" s="77"/>
      <c r="P9" s="77"/>
      <c r="Q9" s="74"/>
      <c r="R9" s="71"/>
      <c r="S9" s="71"/>
      <c r="T9" s="71"/>
      <c r="U9" s="71"/>
      <c r="V9" s="71"/>
      <c r="W9" s="71"/>
      <c r="X9" s="71"/>
      <c r="Y9" s="71"/>
      <c r="Z9" s="18">
        <f t="shared" si="0"/>
        <v>1316</v>
      </c>
      <c r="AA9" s="10">
        <f t="shared" si="1"/>
        <v>3956</v>
      </c>
      <c r="AB9" s="25">
        <v>3967</v>
      </c>
      <c r="AC9" s="19">
        <f t="shared" si="2"/>
        <v>-11</v>
      </c>
      <c r="AE9" s="9">
        <v>3956</v>
      </c>
      <c r="AF9" s="8">
        <f t="shared" si="3"/>
        <v>0</v>
      </c>
    </row>
    <row r="10" spans="1:32" ht="30.2" customHeight="1" x14ac:dyDescent="0.25">
      <c r="A10" s="22">
        <v>6</v>
      </c>
      <c r="B10" s="4"/>
      <c r="C10" s="97" t="s">
        <v>175</v>
      </c>
      <c r="D10" s="98" t="s">
        <v>59</v>
      </c>
      <c r="E10" s="56">
        <v>618</v>
      </c>
      <c r="F10" s="54">
        <v>618</v>
      </c>
      <c r="G10" s="58">
        <v>202</v>
      </c>
      <c r="H10" s="72"/>
      <c r="I10" s="73"/>
      <c r="J10" s="73"/>
      <c r="K10" s="73"/>
      <c r="L10" s="73"/>
      <c r="M10" s="73"/>
      <c r="N10" s="73"/>
      <c r="O10" s="73"/>
      <c r="P10" s="73"/>
      <c r="Q10" s="70"/>
      <c r="R10" s="71"/>
      <c r="S10" s="71"/>
      <c r="T10" s="71"/>
      <c r="U10" s="71"/>
      <c r="V10" s="71"/>
      <c r="W10" s="71"/>
      <c r="X10" s="71"/>
      <c r="Y10" s="71"/>
      <c r="Z10" s="18">
        <f t="shared" si="0"/>
        <v>202</v>
      </c>
      <c r="AA10" s="10">
        <f t="shared" si="1"/>
        <v>820</v>
      </c>
      <c r="AB10" s="25">
        <v>829</v>
      </c>
      <c r="AC10" s="19">
        <f t="shared" si="2"/>
        <v>-9</v>
      </c>
      <c r="AE10" s="9">
        <v>820</v>
      </c>
      <c r="AF10" s="8">
        <f t="shared" si="3"/>
        <v>0</v>
      </c>
    </row>
    <row r="11" spans="1:32" ht="30.2" customHeight="1" x14ac:dyDescent="0.25">
      <c r="A11" s="22">
        <v>7</v>
      </c>
      <c r="B11" s="42"/>
      <c r="C11" s="99" t="s">
        <v>176</v>
      </c>
      <c r="D11" s="96" t="s">
        <v>60</v>
      </c>
      <c r="E11" s="52" t="s">
        <v>337</v>
      </c>
      <c r="F11" s="54">
        <v>2000</v>
      </c>
      <c r="G11" s="58">
        <v>85</v>
      </c>
      <c r="H11" s="72"/>
      <c r="I11" s="73"/>
      <c r="J11" s="73"/>
      <c r="K11" s="73"/>
      <c r="L11" s="73"/>
      <c r="M11" s="73"/>
      <c r="N11" s="73"/>
      <c r="O11" s="73"/>
      <c r="P11" s="73"/>
      <c r="Q11" s="70"/>
      <c r="R11" s="71"/>
      <c r="S11" s="71"/>
      <c r="T11" s="71"/>
      <c r="U11" s="71"/>
      <c r="V11" s="71"/>
      <c r="W11" s="71"/>
      <c r="X11" s="71"/>
      <c r="Y11" s="71"/>
      <c r="Z11" s="18">
        <f t="shared" si="0"/>
        <v>85</v>
      </c>
      <c r="AA11" s="10">
        <f t="shared" si="1"/>
        <v>2085</v>
      </c>
      <c r="AB11" s="25">
        <v>2090</v>
      </c>
      <c r="AC11" s="19">
        <f t="shared" si="2"/>
        <v>-5</v>
      </c>
      <c r="AE11" s="9">
        <v>2085</v>
      </c>
      <c r="AF11" s="8">
        <f t="shared" si="3"/>
        <v>0</v>
      </c>
    </row>
    <row r="12" spans="1:32" ht="30.2" customHeight="1" x14ac:dyDescent="0.25">
      <c r="A12" s="22">
        <v>8</v>
      </c>
      <c r="B12" s="42"/>
      <c r="C12" s="100" t="s">
        <v>177</v>
      </c>
      <c r="D12" s="96" t="s">
        <v>61</v>
      </c>
      <c r="E12" s="52" t="s">
        <v>340</v>
      </c>
      <c r="F12" s="54">
        <v>750</v>
      </c>
      <c r="G12" s="58">
        <v>334</v>
      </c>
      <c r="H12" s="76"/>
      <c r="I12" s="77"/>
      <c r="J12" s="77"/>
      <c r="K12" s="77"/>
      <c r="L12" s="77"/>
      <c r="M12" s="77"/>
      <c r="N12" s="77"/>
      <c r="O12" s="77"/>
      <c r="P12" s="77"/>
      <c r="Q12" s="74"/>
      <c r="R12" s="71"/>
      <c r="S12" s="71"/>
      <c r="T12" s="71"/>
      <c r="U12" s="71"/>
      <c r="V12" s="71"/>
      <c r="W12" s="71"/>
      <c r="X12" s="71"/>
      <c r="Y12" s="71"/>
      <c r="Z12" s="18">
        <f t="shared" si="0"/>
        <v>334</v>
      </c>
      <c r="AA12" s="10">
        <f t="shared" si="1"/>
        <v>1084</v>
      </c>
      <c r="AB12" s="25">
        <v>1088</v>
      </c>
      <c r="AC12" s="19">
        <f t="shared" si="2"/>
        <v>-4</v>
      </c>
      <c r="AE12" s="9">
        <v>1084</v>
      </c>
      <c r="AF12" s="8">
        <f t="shared" si="3"/>
        <v>0</v>
      </c>
    </row>
    <row r="13" spans="1:32" ht="30.2" customHeight="1" x14ac:dyDescent="0.25">
      <c r="A13" s="22">
        <v>9</v>
      </c>
      <c r="B13" s="42"/>
      <c r="C13" s="101" t="s">
        <v>12</v>
      </c>
      <c r="D13" s="96" t="s">
        <v>62</v>
      </c>
      <c r="E13" s="56">
        <v>0</v>
      </c>
      <c r="F13" s="54">
        <v>0</v>
      </c>
      <c r="G13" s="58">
        <v>1935</v>
      </c>
      <c r="H13" s="72"/>
      <c r="I13" s="73"/>
      <c r="J13" s="73"/>
      <c r="K13" s="73"/>
      <c r="L13" s="73"/>
      <c r="M13" s="73"/>
      <c r="N13" s="73"/>
      <c r="O13" s="73"/>
      <c r="P13" s="73"/>
      <c r="Q13" s="70"/>
      <c r="R13" s="71"/>
      <c r="S13" s="71"/>
      <c r="T13" s="71"/>
      <c r="U13" s="71"/>
      <c r="V13" s="71"/>
      <c r="W13" s="71"/>
      <c r="X13" s="71"/>
      <c r="Y13" s="71"/>
      <c r="Z13" s="18">
        <f t="shared" si="0"/>
        <v>1935</v>
      </c>
      <c r="AA13" s="10">
        <f t="shared" si="1"/>
        <v>1935</v>
      </c>
      <c r="AB13" s="25">
        <v>1935</v>
      </c>
      <c r="AC13" s="19">
        <f t="shared" si="2"/>
        <v>0</v>
      </c>
      <c r="AE13" s="9">
        <v>1935</v>
      </c>
      <c r="AF13" s="8">
        <f t="shared" si="3"/>
        <v>0</v>
      </c>
    </row>
    <row r="14" spans="1:32" ht="30.2" customHeight="1" x14ac:dyDescent="0.25">
      <c r="A14" s="22">
        <v>10</v>
      </c>
      <c r="B14" s="42"/>
      <c r="C14" s="101" t="s">
        <v>178</v>
      </c>
      <c r="D14" s="96" t="s">
        <v>63</v>
      </c>
      <c r="E14" s="56" t="s">
        <v>307</v>
      </c>
      <c r="F14" s="54">
        <v>1470</v>
      </c>
      <c r="G14" s="58">
        <v>457</v>
      </c>
      <c r="H14" s="72"/>
      <c r="I14" s="73"/>
      <c r="J14" s="73"/>
      <c r="K14" s="73"/>
      <c r="L14" s="73"/>
      <c r="M14" s="73"/>
      <c r="N14" s="73"/>
      <c r="O14" s="73"/>
      <c r="P14" s="73"/>
      <c r="Q14" s="70"/>
      <c r="R14" s="71"/>
      <c r="S14" s="71"/>
      <c r="T14" s="71"/>
      <c r="U14" s="71"/>
      <c r="V14" s="71"/>
      <c r="W14" s="71"/>
      <c r="X14" s="71"/>
      <c r="Y14" s="71"/>
      <c r="Z14" s="18">
        <f t="shared" si="0"/>
        <v>457</v>
      </c>
      <c r="AA14" s="10">
        <f t="shared" si="1"/>
        <v>1927</v>
      </c>
      <c r="AB14" s="25">
        <v>1927</v>
      </c>
      <c r="AC14" s="19">
        <f t="shared" si="2"/>
        <v>0</v>
      </c>
      <c r="AE14" s="9">
        <v>1927</v>
      </c>
      <c r="AF14" s="8">
        <f t="shared" si="3"/>
        <v>0</v>
      </c>
    </row>
    <row r="15" spans="1:32" ht="30.2" customHeight="1" x14ac:dyDescent="0.25">
      <c r="A15" s="22">
        <v>11</v>
      </c>
      <c r="B15" s="42"/>
      <c r="C15" s="101" t="s">
        <v>179</v>
      </c>
      <c r="D15" s="96" t="s">
        <v>7</v>
      </c>
      <c r="E15" s="56" t="s">
        <v>301</v>
      </c>
      <c r="F15" s="54">
        <v>10000</v>
      </c>
      <c r="G15" s="58">
        <v>1022</v>
      </c>
      <c r="H15" s="76"/>
      <c r="I15" s="77"/>
      <c r="J15" s="77"/>
      <c r="K15" s="77"/>
      <c r="L15" s="77"/>
      <c r="M15" s="77"/>
      <c r="N15" s="77"/>
      <c r="O15" s="77"/>
      <c r="P15" s="77"/>
      <c r="Q15" s="70"/>
      <c r="R15" s="71"/>
      <c r="S15" s="71"/>
      <c r="T15" s="71"/>
      <c r="U15" s="71"/>
      <c r="V15" s="71"/>
      <c r="W15" s="71"/>
      <c r="X15" s="71"/>
      <c r="Y15" s="71"/>
      <c r="Z15" s="18">
        <f t="shared" si="0"/>
        <v>1022</v>
      </c>
      <c r="AA15" s="10">
        <f t="shared" si="1"/>
        <v>11022</v>
      </c>
      <c r="AB15" s="25">
        <v>11052</v>
      </c>
      <c r="AC15" s="19">
        <f t="shared" si="2"/>
        <v>-30</v>
      </c>
      <c r="AE15" s="9">
        <v>11022</v>
      </c>
      <c r="AF15" s="8">
        <f t="shared" si="3"/>
        <v>0</v>
      </c>
    </row>
    <row r="16" spans="1:32" ht="30.2" customHeight="1" x14ac:dyDescent="0.25">
      <c r="A16" s="22">
        <v>12</v>
      </c>
      <c r="B16" s="42"/>
      <c r="C16" s="101" t="s">
        <v>180</v>
      </c>
      <c r="D16" s="96" t="s">
        <v>64</v>
      </c>
      <c r="E16" s="52">
        <v>0</v>
      </c>
      <c r="F16" s="54">
        <v>0</v>
      </c>
      <c r="G16" s="58">
        <v>3707</v>
      </c>
      <c r="H16" s="72"/>
      <c r="I16" s="73"/>
      <c r="J16" s="73"/>
      <c r="K16" s="73"/>
      <c r="L16" s="73"/>
      <c r="M16" s="73"/>
      <c r="N16" s="73"/>
      <c r="O16" s="73"/>
      <c r="P16" s="73"/>
      <c r="Q16" s="70"/>
      <c r="R16" s="71"/>
      <c r="S16" s="71"/>
      <c r="T16" s="71"/>
      <c r="U16" s="71"/>
      <c r="V16" s="71"/>
      <c r="W16" s="71"/>
      <c r="X16" s="71"/>
      <c r="Y16" s="71"/>
      <c r="Z16" s="18">
        <f t="shared" si="0"/>
        <v>3707</v>
      </c>
      <c r="AA16" s="10">
        <f t="shared" si="1"/>
        <v>3707</v>
      </c>
      <c r="AB16" s="25">
        <v>3719</v>
      </c>
      <c r="AC16" s="19">
        <f t="shared" si="2"/>
        <v>-12</v>
      </c>
      <c r="AE16" s="9">
        <v>3707</v>
      </c>
      <c r="AF16" s="8">
        <f t="shared" si="3"/>
        <v>0</v>
      </c>
    </row>
    <row r="17" spans="1:32" ht="30.2" customHeight="1" x14ac:dyDescent="0.25">
      <c r="A17" s="22">
        <v>13</v>
      </c>
      <c r="B17" s="42"/>
      <c r="C17" s="102" t="s">
        <v>181</v>
      </c>
      <c r="D17" s="96" t="s">
        <v>65</v>
      </c>
      <c r="E17" s="56">
        <v>5000</v>
      </c>
      <c r="F17" s="54">
        <v>5000</v>
      </c>
      <c r="G17" s="58">
        <v>2202</v>
      </c>
      <c r="H17" s="72"/>
      <c r="I17" s="73"/>
      <c r="J17" s="73"/>
      <c r="K17" s="73"/>
      <c r="L17" s="73"/>
      <c r="M17" s="73"/>
      <c r="N17" s="73"/>
      <c r="O17" s="73"/>
      <c r="P17" s="73"/>
      <c r="Q17" s="70"/>
      <c r="R17" s="71"/>
      <c r="S17" s="71"/>
      <c r="T17" s="71"/>
      <c r="U17" s="71"/>
      <c r="V17" s="71"/>
      <c r="W17" s="71"/>
      <c r="X17" s="71"/>
      <c r="Y17" s="71"/>
      <c r="Z17" s="18">
        <f t="shared" si="0"/>
        <v>2202</v>
      </c>
      <c r="AA17" s="10">
        <f t="shared" si="1"/>
        <v>7202</v>
      </c>
      <c r="AB17" s="25">
        <v>7234</v>
      </c>
      <c r="AC17" s="19">
        <f t="shared" si="2"/>
        <v>-32</v>
      </c>
      <c r="AE17" s="9">
        <v>7202</v>
      </c>
      <c r="AF17" s="8">
        <f t="shared" si="3"/>
        <v>0</v>
      </c>
    </row>
    <row r="18" spans="1:32" ht="30.2" customHeight="1" x14ac:dyDescent="0.25">
      <c r="A18" s="22">
        <v>14</v>
      </c>
      <c r="B18" s="42"/>
      <c r="C18" s="102" t="s">
        <v>182</v>
      </c>
      <c r="D18" s="96" t="s">
        <v>66</v>
      </c>
      <c r="E18" s="56">
        <v>0</v>
      </c>
      <c r="F18" s="54">
        <v>0</v>
      </c>
      <c r="G18" s="58">
        <v>2465</v>
      </c>
      <c r="H18" s="72"/>
      <c r="I18" s="73"/>
      <c r="J18" s="73"/>
      <c r="K18" s="73"/>
      <c r="L18" s="73"/>
      <c r="M18" s="73"/>
      <c r="N18" s="73"/>
      <c r="O18" s="73"/>
      <c r="P18" s="73"/>
      <c r="Q18" s="70"/>
      <c r="R18" s="71"/>
      <c r="S18" s="71"/>
      <c r="T18" s="71"/>
      <c r="U18" s="71"/>
      <c r="V18" s="71"/>
      <c r="W18" s="71"/>
      <c r="X18" s="71"/>
      <c r="Y18" s="71"/>
      <c r="Z18" s="18">
        <f t="shared" si="0"/>
        <v>2465</v>
      </c>
      <c r="AA18" s="10">
        <f t="shared" si="1"/>
        <v>2465</v>
      </c>
      <c r="AB18" s="25">
        <v>2469</v>
      </c>
      <c r="AC18" s="19">
        <f t="shared" si="2"/>
        <v>-4</v>
      </c>
      <c r="AE18" s="9">
        <v>2465</v>
      </c>
      <c r="AF18" s="8">
        <f t="shared" si="3"/>
        <v>0</v>
      </c>
    </row>
    <row r="19" spans="1:32" ht="30.2" customHeight="1" x14ac:dyDescent="0.25">
      <c r="A19" s="22">
        <v>15</v>
      </c>
      <c r="B19" s="42"/>
      <c r="C19" s="102" t="s">
        <v>183</v>
      </c>
      <c r="D19" s="96" t="s">
        <v>67</v>
      </c>
      <c r="E19" s="52">
        <v>3000</v>
      </c>
      <c r="F19" s="54">
        <v>3000</v>
      </c>
      <c r="G19" s="58">
        <v>288</v>
      </c>
      <c r="H19" s="72"/>
      <c r="I19" s="73"/>
      <c r="J19" s="73"/>
      <c r="K19" s="73"/>
      <c r="L19" s="73"/>
      <c r="M19" s="73"/>
      <c r="N19" s="73"/>
      <c r="O19" s="73"/>
      <c r="P19" s="73"/>
      <c r="Q19" s="70"/>
      <c r="R19" s="71"/>
      <c r="S19" s="71"/>
      <c r="T19" s="71"/>
      <c r="U19" s="71"/>
      <c r="V19" s="71"/>
      <c r="W19" s="71"/>
      <c r="X19" s="71"/>
      <c r="Y19" s="71"/>
      <c r="Z19" s="18">
        <f t="shared" si="0"/>
        <v>288</v>
      </c>
      <c r="AA19" s="10">
        <f t="shared" si="1"/>
        <v>3288</v>
      </c>
      <c r="AB19" s="25">
        <v>3309</v>
      </c>
      <c r="AC19" s="19">
        <f t="shared" si="2"/>
        <v>-21</v>
      </c>
      <c r="AE19" s="9">
        <v>3288</v>
      </c>
      <c r="AF19" s="8">
        <f t="shared" si="3"/>
        <v>0</v>
      </c>
    </row>
    <row r="20" spans="1:32" ht="30.2" customHeight="1" x14ac:dyDescent="0.25">
      <c r="A20" s="22">
        <v>16</v>
      </c>
      <c r="B20" s="42"/>
      <c r="C20" s="102" t="s">
        <v>184</v>
      </c>
      <c r="D20" s="96" t="s">
        <v>68</v>
      </c>
      <c r="E20" s="55" t="s">
        <v>308</v>
      </c>
      <c r="F20" s="54">
        <v>18500</v>
      </c>
      <c r="G20" s="58">
        <v>2344</v>
      </c>
      <c r="H20" s="72"/>
      <c r="I20" s="73"/>
      <c r="J20" s="73"/>
      <c r="K20" s="73"/>
      <c r="L20" s="73"/>
      <c r="M20" s="73"/>
      <c r="N20" s="73"/>
      <c r="O20" s="73"/>
      <c r="P20" s="73"/>
      <c r="Q20" s="70"/>
      <c r="R20" s="71"/>
      <c r="S20" s="71"/>
      <c r="T20" s="71"/>
      <c r="U20" s="71"/>
      <c r="V20" s="71"/>
      <c r="W20" s="71"/>
      <c r="X20" s="71"/>
      <c r="Y20" s="71"/>
      <c r="Z20" s="18">
        <f t="shared" si="0"/>
        <v>2344</v>
      </c>
      <c r="AA20" s="10">
        <f t="shared" si="1"/>
        <v>20844</v>
      </c>
      <c r="AB20" s="25">
        <v>20855</v>
      </c>
      <c r="AC20" s="19">
        <f t="shared" si="2"/>
        <v>-11</v>
      </c>
      <c r="AE20" s="9">
        <v>20844</v>
      </c>
      <c r="AF20" s="8">
        <f t="shared" si="3"/>
        <v>0</v>
      </c>
    </row>
    <row r="21" spans="1:32" ht="30.2" customHeight="1" x14ac:dyDescent="0.25">
      <c r="A21" s="22">
        <v>17</v>
      </c>
      <c r="B21" s="42"/>
      <c r="C21" s="103" t="s">
        <v>13</v>
      </c>
      <c r="D21" s="96" t="s">
        <v>69</v>
      </c>
      <c r="E21" s="85">
        <v>0</v>
      </c>
      <c r="F21" s="54">
        <v>0</v>
      </c>
      <c r="G21" s="123">
        <v>2036</v>
      </c>
      <c r="H21" s="72"/>
      <c r="I21" s="73"/>
      <c r="J21" s="73"/>
      <c r="K21" s="73"/>
      <c r="L21" s="73"/>
      <c r="M21" s="73"/>
      <c r="N21" s="73"/>
      <c r="O21" s="73"/>
      <c r="P21" s="73"/>
      <c r="Q21" s="70"/>
      <c r="R21" s="71"/>
      <c r="S21" s="71"/>
      <c r="T21" s="71"/>
      <c r="U21" s="71"/>
      <c r="V21" s="71"/>
      <c r="W21" s="71"/>
      <c r="X21" s="71"/>
      <c r="Y21" s="71"/>
      <c r="Z21" s="18">
        <f t="shared" si="0"/>
        <v>2036</v>
      </c>
      <c r="AA21" s="10">
        <f t="shared" si="1"/>
        <v>2036</v>
      </c>
      <c r="AB21" s="25">
        <v>2040</v>
      </c>
      <c r="AC21" s="19">
        <f t="shared" si="2"/>
        <v>-4</v>
      </c>
      <c r="AE21" s="9">
        <v>2036</v>
      </c>
      <c r="AF21" s="8">
        <f t="shared" si="3"/>
        <v>0</v>
      </c>
    </row>
    <row r="22" spans="1:32" ht="30.2" customHeight="1" x14ac:dyDescent="0.25">
      <c r="A22" s="22">
        <v>18</v>
      </c>
      <c r="B22" s="42"/>
      <c r="C22" s="103" t="s">
        <v>185</v>
      </c>
      <c r="D22" s="96" t="s">
        <v>70</v>
      </c>
      <c r="E22" s="56">
        <v>0</v>
      </c>
      <c r="F22" s="54">
        <v>0</v>
      </c>
      <c r="G22" s="58">
        <v>2368</v>
      </c>
      <c r="H22" s="72"/>
      <c r="I22" s="73"/>
      <c r="J22" s="73"/>
      <c r="K22" s="73"/>
      <c r="L22" s="73"/>
      <c r="M22" s="73"/>
      <c r="N22" s="73"/>
      <c r="O22" s="73"/>
      <c r="P22" s="73"/>
      <c r="Q22" s="70"/>
      <c r="R22" s="71"/>
      <c r="S22" s="71"/>
      <c r="T22" s="71"/>
      <c r="U22" s="71"/>
      <c r="V22" s="71"/>
      <c r="W22" s="71"/>
      <c r="X22" s="71"/>
      <c r="Y22" s="71"/>
      <c r="Z22" s="18">
        <f t="shared" si="0"/>
        <v>2368</v>
      </c>
      <c r="AA22" s="10">
        <f t="shared" si="1"/>
        <v>2368</v>
      </c>
      <c r="AB22" s="25">
        <v>2368</v>
      </c>
      <c r="AC22" s="19">
        <f t="shared" si="2"/>
        <v>0</v>
      </c>
      <c r="AE22" s="9">
        <v>2368</v>
      </c>
      <c r="AF22" s="8">
        <f t="shared" si="3"/>
        <v>0</v>
      </c>
    </row>
    <row r="23" spans="1:32" ht="30.2" customHeight="1" x14ac:dyDescent="0.25">
      <c r="A23" s="22">
        <v>19</v>
      </c>
      <c r="B23" s="42"/>
      <c r="C23" s="103" t="s">
        <v>186</v>
      </c>
      <c r="D23" s="96" t="s">
        <v>71</v>
      </c>
      <c r="E23" s="56">
        <v>0</v>
      </c>
      <c r="F23" s="54">
        <v>0</v>
      </c>
      <c r="G23" s="58">
        <v>1877</v>
      </c>
      <c r="H23" s="76"/>
      <c r="I23" s="77"/>
      <c r="J23" s="77"/>
      <c r="K23" s="77"/>
      <c r="L23" s="77"/>
      <c r="M23" s="77"/>
      <c r="N23" s="77"/>
      <c r="O23" s="77"/>
      <c r="P23" s="77"/>
      <c r="Q23" s="70"/>
      <c r="R23" s="71"/>
      <c r="S23" s="71"/>
      <c r="T23" s="71"/>
      <c r="U23" s="71"/>
      <c r="V23" s="71"/>
      <c r="W23" s="71"/>
      <c r="X23" s="71"/>
      <c r="Y23" s="71"/>
      <c r="Z23" s="18">
        <f t="shared" si="0"/>
        <v>1877</v>
      </c>
      <c r="AA23" s="10">
        <f t="shared" si="1"/>
        <v>1877</v>
      </c>
      <c r="AB23" s="25">
        <v>1880</v>
      </c>
      <c r="AC23" s="19">
        <f t="shared" si="2"/>
        <v>-3</v>
      </c>
      <c r="AE23" s="9">
        <v>1877</v>
      </c>
      <c r="AF23" s="8">
        <f t="shared" si="3"/>
        <v>0</v>
      </c>
    </row>
    <row r="24" spans="1:32" ht="30.2" customHeight="1" x14ac:dyDescent="0.25">
      <c r="A24" s="22">
        <v>20</v>
      </c>
      <c r="B24" s="42"/>
      <c r="C24" s="103" t="s">
        <v>187</v>
      </c>
      <c r="D24" s="96" t="s">
        <v>72</v>
      </c>
      <c r="E24" s="85">
        <v>0</v>
      </c>
      <c r="F24" s="54">
        <v>0</v>
      </c>
      <c r="G24" s="58">
        <v>2707</v>
      </c>
      <c r="H24" s="72"/>
      <c r="I24" s="73"/>
      <c r="J24" s="73"/>
      <c r="K24" s="73"/>
      <c r="L24" s="73"/>
      <c r="M24" s="73"/>
      <c r="N24" s="73"/>
      <c r="O24" s="73"/>
      <c r="P24" s="73"/>
      <c r="Q24" s="70"/>
      <c r="R24" s="71"/>
      <c r="S24" s="71"/>
      <c r="T24" s="71"/>
      <c r="U24" s="71"/>
      <c r="V24" s="71"/>
      <c r="W24" s="71"/>
      <c r="X24" s="71"/>
      <c r="Y24" s="71"/>
      <c r="Z24" s="18">
        <f t="shared" si="0"/>
        <v>2707</v>
      </c>
      <c r="AA24" s="10">
        <f t="shared" si="1"/>
        <v>2707</v>
      </c>
      <c r="AB24" s="25">
        <v>2716</v>
      </c>
      <c r="AC24" s="19">
        <f t="shared" si="2"/>
        <v>-9</v>
      </c>
      <c r="AE24" s="9">
        <v>2707</v>
      </c>
      <c r="AF24" s="8">
        <f t="shared" si="3"/>
        <v>0</v>
      </c>
    </row>
    <row r="25" spans="1:32" ht="30.2" customHeight="1" x14ac:dyDescent="0.25">
      <c r="A25" s="22">
        <v>21</v>
      </c>
      <c r="B25" s="42"/>
      <c r="C25" s="103" t="s">
        <v>188</v>
      </c>
      <c r="D25" s="96" t="s">
        <v>73</v>
      </c>
      <c r="E25" s="56">
        <v>0</v>
      </c>
      <c r="F25" s="54">
        <v>0</v>
      </c>
      <c r="G25" s="58">
        <v>2396</v>
      </c>
      <c r="H25" s="72"/>
      <c r="I25" s="73"/>
      <c r="J25" s="73"/>
      <c r="K25" s="73"/>
      <c r="L25" s="73"/>
      <c r="M25" s="73"/>
      <c r="N25" s="73"/>
      <c r="O25" s="73"/>
      <c r="P25" s="73"/>
      <c r="Q25" s="70"/>
      <c r="R25" s="71"/>
      <c r="S25" s="71"/>
      <c r="T25" s="71"/>
      <c r="U25" s="71"/>
      <c r="V25" s="71"/>
      <c r="W25" s="71"/>
      <c r="X25" s="71"/>
      <c r="Y25" s="71"/>
      <c r="Z25" s="18">
        <f t="shared" si="0"/>
        <v>2396</v>
      </c>
      <c r="AA25" s="10">
        <f t="shared" si="1"/>
        <v>2396</v>
      </c>
      <c r="AB25" s="25">
        <v>2396</v>
      </c>
      <c r="AC25" s="19">
        <f t="shared" si="2"/>
        <v>0</v>
      </c>
      <c r="AE25" s="9">
        <v>2396</v>
      </c>
      <c r="AF25" s="8">
        <f t="shared" si="3"/>
        <v>0</v>
      </c>
    </row>
    <row r="26" spans="1:32" ht="30.2" customHeight="1" x14ac:dyDescent="0.25">
      <c r="A26" s="22">
        <v>22</v>
      </c>
      <c r="B26" s="42"/>
      <c r="C26" s="103" t="s">
        <v>189</v>
      </c>
      <c r="D26" s="96" t="s">
        <v>74</v>
      </c>
      <c r="E26" s="52" t="s">
        <v>331</v>
      </c>
      <c r="F26" s="54">
        <v>800</v>
      </c>
      <c r="G26" s="59">
        <v>194</v>
      </c>
      <c r="H26" s="76"/>
      <c r="I26" s="77"/>
      <c r="J26" s="77"/>
      <c r="K26" s="77"/>
      <c r="L26" s="77"/>
      <c r="M26" s="77"/>
      <c r="N26" s="77"/>
      <c r="O26" s="77"/>
      <c r="P26" s="77"/>
      <c r="Q26" s="70"/>
      <c r="R26" s="71"/>
      <c r="S26" s="71"/>
      <c r="T26" s="71"/>
      <c r="U26" s="71"/>
      <c r="V26" s="71"/>
      <c r="W26" s="71"/>
      <c r="X26" s="71"/>
      <c r="Y26" s="71"/>
      <c r="Z26" s="18">
        <f t="shared" si="0"/>
        <v>194</v>
      </c>
      <c r="AA26" s="10">
        <f t="shared" si="1"/>
        <v>994</v>
      </c>
      <c r="AB26" s="25">
        <v>994</v>
      </c>
      <c r="AC26" s="19">
        <f t="shared" si="2"/>
        <v>0</v>
      </c>
      <c r="AE26" s="9">
        <v>994</v>
      </c>
      <c r="AF26" s="8">
        <f t="shared" si="3"/>
        <v>0</v>
      </c>
    </row>
    <row r="27" spans="1:32" ht="30.2" customHeight="1" x14ac:dyDescent="0.25">
      <c r="A27" s="22">
        <v>23</v>
      </c>
      <c r="B27" s="42"/>
      <c r="C27" s="102" t="s">
        <v>190</v>
      </c>
      <c r="D27" s="96" t="s">
        <v>160</v>
      </c>
      <c r="E27" s="56">
        <v>1000</v>
      </c>
      <c r="F27" s="54">
        <v>1000</v>
      </c>
      <c r="G27" s="58">
        <v>345</v>
      </c>
      <c r="H27" s="76"/>
      <c r="I27" s="77"/>
      <c r="J27" s="77"/>
      <c r="K27" s="77"/>
      <c r="L27" s="77"/>
      <c r="M27" s="77"/>
      <c r="N27" s="77"/>
      <c r="O27" s="77"/>
      <c r="P27" s="77"/>
      <c r="Q27" s="70"/>
      <c r="R27" s="71"/>
      <c r="S27" s="71"/>
      <c r="T27" s="71"/>
      <c r="U27" s="71"/>
      <c r="V27" s="71"/>
      <c r="W27" s="71"/>
      <c r="X27" s="71"/>
      <c r="Y27" s="71"/>
      <c r="Z27" s="18">
        <f t="shared" si="0"/>
        <v>345</v>
      </c>
      <c r="AA27" s="10">
        <f t="shared" si="1"/>
        <v>1345</v>
      </c>
      <c r="AB27" s="25">
        <v>1345</v>
      </c>
      <c r="AC27" s="19">
        <f t="shared" si="2"/>
        <v>0</v>
      </c>
      <c r="AE27" s="9">
        <v>1345</v>
      </c>
      <c r="AF27" s="8">
        <f t="shared" si="3"/>
        <v>0</v>
      </c>
    </row>
    <row r="28" spans="1:32" ht="30.2" customHeight="1" x14ac:dyDescent="0.25">
      <c r="A28" s="22">
        <v>24</v>
      </c>
      <c r="B28" s="42"/>
      <c r="C28" s="103" t="s">
        <v>191</v>
      </c>
      <c r="D28" s="96" t="s">
        <v>75</v>
      </c>
      <c r="E28" s="56">
        <v>0</v>
      </c>
      <c r="F28" s="54">
        <v>0</v>
      </c>
      <c r="G28" s="58">
        <v>3452</v>
      </c>
      <c r="H28" s="72"/>
      <c r="I28" s="73"/>
      <c r="J28" s="73"/>
      <c r="K28" s="73"/>
      <c r="L28" s="73"/>
      <c r="M28" s="73"/>
      <c r="N28" s="73"/>
      <c r="O28" s="73"/>
      <c r="P28" s="73"/>
      <c r="Q28" s="70"/>
      <c r="R28" s="71"/>
      <c r="S28" s="71"/>
      <c r="T28" s="71"/>
      <c r="U28" s="71"/>
      <c r="V28" s="71"/>
      <c r="W28" s="71"/>
      <c r="X28" s="71"/>
      <c r="Y28" s="71"/>
      <c r="Z28" s="18">
        <f t="shared" si="0"/>
        <v>3452</v>
      </c>
      <c r="AA28" s="10">
        <f t="shared" si="1"/>
        <v>3452</v>
      </c>
      <c r="AB28" s="25">
        <v>3452</v>
      </c>
      <c r="AC28" s="19">
        <f t="shared" si="2"/>
        <v>0</v>
      </c>
      <c r="AE28" s="9">
        <v>3452</v>
      </c>
      <c r="AF28" s="8">
        <f t="shared" si="3"/>
        <v>0</v>
      </c>
    </row>
    <row r="29" spans="1:32" ht="30.2" customHeight="1" x14ac:dyDescent="0.25">
      <c r="A29" s="22">
        <v>25</v>
      </c>
      <c r="B29" s="42"/>
      <c r="C29" s="102" t="s">
        <v>192</v>
      </c>
      <c r="D29" s="96" t="s">
        <v>76</v>
      </c>
      <c r="E29" s="52">
        <v>0</v>
      </c>
      <c r="F29" s="54">
        <v>0</v>
      </c>
      <c r="G29" s="59"/>
      <c r="H29" s="72"/>
      <c r="I29" s="73"/>
      <c r="J29" s="73"/>
      <c r="K29" s="73"/>
      <c r="L29" s="73"/>
      <c r="M29" s="73"/>
      <c r="N29" s="73"/>
      <c r="O29" s="73"/>
      <c r="P29" s="73"/>
      <c r="Q29" s="70"/>
      <c r="R29" s="71"/>
      <c r="S29" s="71"/>
      <c r="T29" s="71"/>
      <c r="U29" s="71"/>
      <c r="V29" s="71"/>
      <c r="W29" s="71"/>
      <c r="X29" s="71"/>
      <c r="Y29" s="71"/>
      <c r="Z29" s="18">
        <f t="shared" si="0"/>
        <v>0</v>
      </c>
      <c r="AA29" s="10">
        <f t="shared" si="1"/>
        <v>0</v>
      </c>
      <c r="AB29" s="25">
        <v>0</v>
      </c>
      <c r="AC29" s="19">
        <f t="shared" si="2"/>
        <v>0</v>
      </c>
      <c r="AE29" s="9">
        <v>0</v>
      </c>
      <c r="AF29" s="8">
        <f t="shared" si="3"/>
        <v>0</v>
      </c>
    </row>
    <row r="30" spans="1:32" ht="30.2" customHeight="1" x14ac:dyDescent="0.25">
      <c r="A30" s="22">
        <v>26</v>
      </c>
      <c r="B30" s="43"/>
      <c r="C30" s="102" t="s">
        <v>193</v>
      </c>
      <c r="D30" s="96" t="s">
        <v>77</v>
      </c>
      <c r="E30" s="52">
        <v>0</v>
      </c>
      <c r="F30" s="54">
        <v>8</v>
      </c>
      <c r="G30" s="59">
        <v>0</v>
      </c>
      <c r="H30" s="129"/>
      <c r="I30" s="130"/>
      <c r="J30" s="73"/>
      <c r="K30" s="73"/>
      <c r="L30" s="73"/>
      <c r="M30" s="73"/>
      <c r="N30" s="73"/>
      <c r="O30" s="73"/>
      <c r="P30" s="73"/>
      <c r="Q30" s="70"/>
      <c r="R30" s="71"/>
      <c r="S30" s="71"/>
      <c r="T30" s="71"/>
      <c r="U30" s="71"/>
      <c r="V30" s="71"/>
      <c r="W30" s="71"/>
      <c r="X30" s="71"/>
      <c r="Y30" s="71"/>
      <c r="Z30" s="18">
        <f t="shared" si="0"/>
        <v>0</v>
      </c>
      <c r="AA30" s="10">
        <f t="shared" si="1"/>
        <v>8</v>
      </c>
      <c r="AB30" s="25">
        <v>16</v>
      </c>
      <c r="AC30" s="19">
        <f t="shared" si="2"/>
        <v>-8</v>
      </c>
      <c r="AE30" s="9">
        <v>8</v>
      </c>
      <c r="AF30" s="8">
        <f t="shared" si="3"/>
        <v>0</v>
      </c>
    </row>
    <row r="31" spans="1:32" ht="30.2" customHeight="1" x14ac:dyDescent="0.25">
      <c r="A31" s="22">
        <v>27</v>
      </c>
      <c r="B31" s="42"/>
      <c r="C31" s="132" t="s">
        <v>351</v>
      </c>
      <c r="D31" s="133" t="s">
        <v>352</v>
      </c>
      <c r="E31" s="134">
        <v>1000</v>
      </c>
      <c r="F31" s="54"/>
      <c r="G31" s="59">
        <v>160</v>
      </c>
      <c r="H31" s="129"/>
      <c r="I31" s="130"/>
      <c r="J31" s="73"/>
      <c r="K31" s="73"/>
      <c r="L31" s="73"/>
      <c r="M31" s="73"/>
      <c r="N31" s="73"/>
      <c r="O31" s="73"/>
      <c r="P31" s="73"/>
      <c r="Q31" s="70"/>
      <c r="R31" s="71"/>
      <c r="S31" s="71"/>
      <c r="T31" s="71"/>
      <c r="U31" s="71"/>
      <c r="V31" s="71"/>
      <c r="W31" s="71"/>
      <c r="X31" s="71"/>
      <c r="Y31" s="71"/>
      <c r="Z31" s="18">
        <f t="shared" si="0"/>
        <v>160</v>
      </c>
      <c r="AA31" s="10">
        <f t="shared" ref="AA31" si="4">F31+Z31</f>
        <v>160</v>
      </c>
      <c r="AB31" s="25">
        <v>160</v>
      </c>
      <c r="AC31" s="19">
        <f t="shared" ref="AC31" si="5">AA31-AB31</f>
        <v>0</v>
      </c>
      <c r="AE31" s="9">
        <v>160</v>
      </c>
      <c r="AF31" s="8">
        <f t="shared" si="3"/>
        <v>0</v>
      </c>
    </row>
    <row r="32" spans="1:32" ht="30.2" customHeight="1" x14ac:dyDescent="0.25">
      <c r="A32" s="22">
        <v>28</v>
      </c>
      <c r="B32" s="42"/>
      <c r="C32" s="102" t="s">
        <v>194</v>
      </c>
      <c r="D32" s="96" t="s">
        <v>35</v>
      </c>
      <c r="E32" s="52">
        <v>0</v>
      </c>
      <c r="F32" s="54">
        <v>0</v>
      </c>
      <c r="G32" s="58">
        <v>9807</v>
      </c>
      <c r="H32" s="72"/>
      <c r="I32" s="73"/>
      <c r="J32" s="73"/>
      <c r="K32" s="73"/>
      <c r="L32" s="73"/>
      <c r="M32" s="73"/>
      <c r="N32" s="73"/>
      <c r="O32" s="73"/>
      <c r="P32" s="73"/>
      <c r="Q32" s="70"/>
      <c r="R32" s="71"/>
      <c r="S32" s="71"/>
      <c r="T32" s="71"/>
      <c r="U32" s="71"/>
      <c r="V32" s="71"/>
      <c r="W32" s="71"/>
      <c r="X32" s="71"/>
      <c r="Y32" s="71"/>
      <c r="Z32" s="18">
        <f t="shared" si="0"/>
        <v>9807</v>
      </c>
      <c r="AA32" s="10">
        <f t="shared" si="1"/>
        <v>9807</v>
      </c>
      <c r="AB32" s="25">
        <v>9885</v>
      </c>
      <c r="AC32" s="19">
        <f t="shared" si="2"/>
        <v>-78</v>
      </c>
      <c r="AE32" s="9">
        <v>9807</v>
      </c>
      <c r="AF32" s="8">
        <f t="shared" si="3"/>
        <v>0</v>
      </c>
    </row>
    <row r="33" spans="1:32" ht="30.2" customHeight="1" x14ac:dyDescent="0.25">
      <c r="A33" s="22">
        <v>29</v>
      </c>
      <c r="B33" s="42"/>
      <c r="C33" s="102" t="s">
        <v>195</v>
      </c>
      <c r="D33" s="96" t="s">
        <v>78</v>
      </c>
      <c r="E33" s="56">
        <v>2000</v>
      </c>
      <c r="F33" s="54">
        <v>2000</v>
      </c>
      <c r="G33" s="58">
        <v>807</v>
      </c>
      <c r="H33" s="72"/>
      <c r="I33" s="73"/>
      <c r="J33" s="73"/>
      <c r="K33" s="73"/>
      <c r="L33" s="73"/>
      <c r="M33" s="73"/>
      <c r="N33" s="73"/>
      <c r="O33" s="73"/>
      <c r="P33" s="73"/>
      <c r="Q33" s="70"/>
      <c r="R33" s="71"/>
      <c r="S33" s="71"/>
      <c r="T33" s="71"/>
      <c r="U33" s="71"/>
      <c r="V33" s="71"/>
      <c r="W33" s="71"/>
      <c r="X33" s="71"/>
      <c r="Y33" s="71"/>
      <c r="Z33" s="18">
        <f t="shared" si="0"/>
        <v>807</v>
      </c>
      <c r="AA33" s="10">
        <f t="shared" si="1"/>
        <v>2807</v>
      </c>
      <c r="AB33" s="25">
        <v>2913</v>
      </c>
      <c r="AC33" s="19">
        <f t="shared" si="2"/>
        <v>-106</v>
      </c>
      <c r="AE33" s="9">
        <v>2807</v>
      </c>
      <c r="AF33" s="8">
        <f t="shared" si="3"/>
        <v>0</v>
      </c>
    </row>
    <row r="34" spans="1:32" ht="30.2" customHeight="1" x14ac:dyDescent="0.25">
      <c r="A34" s="22">
        <v>30</v>
      </c>
      <c r="B34" s="42"/>
      <c r="C34" s="102" t="s">
        <v>196</v>
      </c>
      <c r="D34" s="96" t="s">
        <v>79</v>
      </c>
      <c r="E34" s="85">
        <v>4000</v>
      </c>
      <c r="F34" s="54">
        <v>4000</v>
      </c>
      <c r="G34" s="58">
        <v>1167</v>
      </c>
      <c r="H34" s="72"/>
      <c r="I34" s="73"/>
      <c r="J34" s="73"/>
      <c r="K34" s="73"/>
      <c r="L34" s="73"/>
      <c r="M34" s="73"/>
      <c r="N34" s="73"/>
      <c r="O34" s="73"/>
      <c r="P34" s="73"/>
      <c r="Q34" s="70"/>
      <c r="R34" s="71"/>
      <c r="S34" s="71"/>
      <c r="T34" s="71"/>
      <c r="U34" s="71"/>
      <c r="V34" s="71"/>
      <c r="W34" s="71"/>
      <c r="X34" s="71"/>
      <c r="Y34" s="71"/>
      <c r="Z34" s="18">
        <f t="shared" si="0"/>
        <v>1167</v>
      </c>
      <c r="AA34" s="10">
        <f t="shared" si="1"/>
        <v>5167</v>
      </c>
      <c r="AB34" s="25">
        <v>5186</v>
      </c>
      <c r="AC34" s="19">
        <f t="shared" si="2"/>
        <v>-19</v>
      </c>
      <c r="AE34" s="9">
        <v>5167</v>
      </c>
      <c r="AF34" s="8">
        <f t="shared" si="3"/>
        <v>0</v>
      </c>
    </row>
    <row r="35" spans="1:32" ht="30.2" customHeight="1" x14ac:dyDescent="0.25">
      <c r="A35" s="22">
        <v>31</v>
      </c>
      <c r="B35" s="44"/>
      <c r="C35" s="102" t="s">
        <v>197</v>
      </c>
      <c r="D35" s="96" t="s">
        <v>80</v>
      </c>
      <c r="E35" s="56">
        <v>0</v>
      </c>
      <c r="F35" s="54">
        <v>0</v>
      </c>
      <c r="G35" s="58">
        <v>2303</v>
      </c>
      <c r="H35" s="72"/>
      <c r="I35" s="73"/>
      <c r="J35" s="73"/>
      <c r="K35" s="73"/>
      <c r="L35" s="73"/>
      <c r="M35" s="73"/>
      <c r="N35" s="73"/>
      <c r="O35" s="73"/>
      <c r="P35" s="73"/>
      <c r="Q35" s="70"/>
      <c r="R35" s="71"/>
      <c r="S35" s="71"/>
      <c r="T35" s="71"/>
      <c r="U35" s="71"/>
      <c r="V35" s="71"/>
      <c r="W35" s="71"/>
      <c r="X35" s="71"/>
      <c r="Y35" s="71"/>
      <c r="Z35" s="18">
        <f t="shared" si="0"/>
        <v>2303</v>
      </c>
      <c r="AA35" s="10">
        <f t="shared" si="1"/>
        <v>2303</v>
      </c>
      <c r="AB35" s="25">
        <v>2306</v>
      </c>
      <c r="AC35" s="19">
        <f t="shared" si="2"/>
        <v>-3</v>
      </c>
      <c r="AE35" s="9">
        <v>2303</v>
      </c>
      <c r="AF35" s="8">
        <f t="shared" si="3"/>
        <v>0</v>
      </c>
    </row>
    <row r="36" spans="1:32" ht="30.2" customHeight="1" x14ac:dyDescent="0.25">
      <c r="A36" s="22">
        <v>32</v>
      </c>
      <c r="B36" s="44"/>
      <c r="C36" s="103" t="s">
        <v>198</v>
      </c>
      <c r="D36" s="96" t="s">
        <v>81</v>
      </c>
      <c r="E36" s="52">
        <v>0</v>
      </c>
      <c r="F36" s="54">
        <v>0</v>
      </c>
      <c r="G36" s="58">
        <v>1780</v>
      </c>
      <c r="H36" s="72"/>
      <c r="I36" s="73"/>
      <c r="J36" s="73"/>
      <c r="K36" s="73"/>
      <c r="L36" s="73"/>
      <c r="M36" s="73"/>
      <c r="N36" s="73"/>
      <c r="O36" s="73"/>
      <c r="P36" s="73"/>
      <c r="Q36" s="70"/>
      <c r="R36" s="71"/>
      <c r="S36" s="71"/>
      <c r="T36" s="71"/>
      <c r="U36" s="71"/>
      <c r="V36" s="71"/>
      <c r="W36" s="71"/>
      <c r="X36" s="71"/>
      <c r="Y36" s="71"/>
      <c r="Z36" s="18">
        <f t="shared" si="0"/>
        <v>1780</v>
      </c>
      <c r="AA36" s="10">
        <f t="shared" si="1"/>
        <v>1780</v>
      </c>
      <c r="AB36" s="25">
        <v>1799</v>
      </c>
      <c r="AC36" s="19">
        <f t="shared" si="2"/>
        <v>-19</v>
      </c>
      <c r="AE36" s="9">
        <v>1780</v>
      </c>
      <c r="AF36" s="8">
        <f t="shared" si="3"/>
        <v>0</v>
      </c>
    </row>
    <row r="37" spans="1:32" ht="30.2" customHeight="1" x14ac:dyDescent="0.25">
      <c r="A37" s="22">
        <v>33</v>
      </c>
      <c r="B37" s="44"/>
      <c r="C37" s="102" t="s">
        <v>199</v>
      </c>
      <c r="D37" s="96" t="s">
        <v>82</v>
      </c>
      <c r="E37" s="85" t="s">
        <v>300</v>
      </c>
      <c r="F37" s="54">
        <v>30000</v>
      </c>
      <c r="G37" s="58">
        <v>4370</v>
      </c>
      <c r="H37" s="76"/>
      <c r="I37" s="77"/>
      <c r="J37" s="77"/>
      <c r="K37" s="77"/>
      <c r="L37" s="77"/>
      <c r="M37" s="77"/>
      <c r="N37" s="77"/>
      <c r="O37" s="77"/>
      <c r="P37" s="77"/>
      <c r="Q37" s="70"/>
      <c r="R37" s="71"/>
      <c r="S37" s="71"/>
      <c r="T37" s="71"/>
      <c r="U37" s="71"/>
      <c r="V37" s="71"/>
      <c r="W37" s="71"/>
      <c r="X37" s="71"/>
      <c r="Y37" s="71"/>
      <c r="Z37" s="18">
        <f t="shared" si="0"/>
        <v>4370</v>
      </c>
      <c r="AA37" s="10">
        <f t="shared" ref="AA37:AA70" si="6">F37+Z37</f>
        <v>34370</v>
      </c>
      <c r="AB37" s="25">
        <v>34660</v>
      </c>
      <c r="AC37" s="19">
        <f t="shared" ref="AC37:AC70" si="7">AA37-AB37</f>
        <v>-290</v>
      </c>
      <c r="AE37" s="9">
        <v>34370</v>
      </c>
      <c r="AF37" s="8">
        <f t="shared" si="3"/>
        <v>0</v>
      </c>
    </row>
    <row r="38" spans="1:32" ht="30.2" customHeight="1" x14ac:dyDescent="0.25">
      <c r="A38" s="22">
        <v>34</v>
      </c>
      <c r="B38" s="44"/>
      <c r="C38" s="102" t="s">
        <v>200</v>
      </c>
      <c r="D38" s="96" t="s">
        <v>53</v>
      </c>
      <c r="E38" s="85" t="s">
        <v>309</v>
      </c>
      <c r="F38" s="54">
        <v>6526</v>
      </c>
      <c r="G38" s="58">
        <v>88</v>
      </c>
      <c r="H38" s="72"/>
      <c r="I38" s="73"/>
      <c r="J38" s="73"/>
      <c r="K38" s="73"/>
      <c r="L38" s="73"/>
      <c r="M38" s="73"/>
      <c r="N38" s="73"/>
      <c r="O38" s="73"/>
      <c r="P38" s="73"/>
      <c r="Q38" s="70"/>
      <c r="R38" s="71"/>
      <c r="S38" s="71"/>
      <c r="T38" s="71"/>
      <c r="U38" s="71"/>
      <c r="V38" s="71"/>
      <c r="W38" s="71"/>
      <c r="X38" s="71"/>
      <c r="Y38" s="71"/>
      <c r="Z38" s="18">
        <f t="shared" si="0"/>
        <v>88</v>
      </c>
      <c r="AA38" s="10">
        <f t="shared" si="6"/>
        <v>6614</v>
      </c>
      <c r="AB38" s="25">
        <v>6734</v>
      </c>
      <c r="AC38" s="19">
        <f t="shared" si="7"/>
        <v>-120</v>
      </c>
      <c r="AE38" s="9">
        <v>6614</v>
      </c>
      <c r="AF38" s="8">
        <f t="shared" si="3"/>
        <v>0</v>
      </c>
    </row>
    <row r="39" spans="1:32" ht="30.2" customHeight="1" x14ac:dyDescent="0.25">
      <c r="A39" s="22">
        <v>35</v>
      </c>
      <c r="B39" s="44"/>
      <c r="C39" s="102" t="s">
        <v>201</v>
      </c>
      <c r="D39" s="96" t="s">
        <v>83</v>
      </c>
      <c r="E39" s="85" t="s">
        <v>310</v>
      </c>
      <c r="F39" s="54">
        <v>1250</v>
      </c>
      <c r="G39" s="58">
        <v>101</v>
      </c>
      <c r="H39" s="72"/>
      <c r="I39" s="73"/>
      <c r="J39" s="73"/>
      <c r="K39" s="73"/>
      <c r="L39" s="73"/>
      <c r="M39" s="73"/>
      <c r="N39" s="73"/>
      <c r="O39" s="73"/>
      <c r="P39" s="73"/>
      <c r="Q39" s="70"/>
      <c r="R39" s="74"/>
      <c r="S39" s="71"/>
      <c r="T39" s="71"/>
      <c r="U39" s="71"/>
      <c r="V39" s="71"/>
      <c r="W39" s="71"/>
      <c r="X39" s="71"/>
      <c r="Y39" s="71"/>
      <c r="Z39" s="18">
        <f t="shared" si="0"/>
        <v>101</v>
      </c>
      <c r="AA39" s="10">
        <f t="shared" si="6"/>
        <v>1351</v>
      </c>
      <c r="AB39" s="25">
        <v>1357</v>
      </c>
      <c r="AC39" s="19">
        <f t="shared" si="7"/>
        <v>-6</v>
      </c>
      <c r="AE39" s="9">
        <v>1351</v>
      </c>
      <c r="AF39" s="8">
        <f t="shared" si="3"/>
        <v>0</v>
      </c>
    </row>
    <row r="40" spans="1:32" ht="30.2" customHeight="1" x14ac:dyDescent="0.25">
      <c r="A40" s="22">
        <v>36</v>
      </c>
      <c r="B40" s="44"/>
      <c r="C40" s="102" t="s">
        <v>202</v>
      </c>
      <c r="D40" s="96" t="s">
        <v>84</v>
      </c>
      <c r="E40" s="52">
        <v>0</v>
      </c>
      <c r="F40" s="54">
        <v>0</v>
      </c>
      <c r="G40" s="58">
        <v>914</v>
      </c>
      <c r="H40" s="72"/>
      <c r="I40" s="73"/>
      <c r="J40" s="73"/>
      <c r="K40" s="73"/>
      <c r="L40" s="73"/>
      <c r="M40" s="73"/>
      <c r="N40" s="73"/>
      <c r="O40" s="73"/>
      <c r="P40" s="73"/>
      <c r="Q40" s="70"/>
      <c r="R40" s="71"/>
      <c r="S40" s="71"/>
      <c r="T40" s="71"/>
      <c r="U40" s="71"/>
      <c r="V40" s="71"/>
      <c r="W40" s="71"/>
      <c r="X40" s="71"/>
      <c r="Y40" s="71"/>
      <c r="Z40" s="18">
        <f t="shared" si="0"/>
        <v>914</v>
      </c>
      <c r="AA40" s="10">
        <f t="shared" si="6"/>
        <v>914</v>
      </c>
      <c r="AB40" s="25">
        <v>914</v>
      </c>
      <c r="AC40" s="19">
        <f t="shared" si="7"/>
        <v>0</v>
      </c>
      <c r="AE40" s="9">
        <v>914</v>
      </c>
      <c r="AF40" s="8">
        <f t="shared" si="3"/>
        <v>0</v>
      </c>
    </row>
    <row r="41" spans="1:32" ht="30.2" customHeight="1" x14ac:dyDescent="0.25">
      <c r="A41" s="22">
        <v>37</v>
      </c>
      <c r="B41" s="44"/>
      <c r="C41" s="103" t="s">
        <v>203</v>
      </c>
      <c r="D41" s="96" t="s">
        <v>85</v>
      </c>
      <c r="E41" s="56" t="s">
        <v>368</v>
      </c>
      <c r="F41" s="54">
        <v>4000</v>
      </c>
      <c r="G41" s="58">
        <v>311</v>
      </c>
      <c r="H41" s="72"/>
      <c r="I41" s="73"/>
      <c r="J41" s="73"/>
      <c r="K41" s="73"/>
      <c r="L41" s="73"/>
      <c r="M41" s="73"/>
      <c r="N41" s="73"/>
      <c r="O41" s="73"/>
      <c r="P41" s="73"/>
      <c r="Q41" s="70"/>
      <c r="R41" s="71"/>
      <c r="S41" s="71"/>
      <c r="T41" s="71"/>
      <c r="U41" s="71"/>
      <c r="V41" s="71"/>
      <c r="W41" s="71"/>
      <c r="X41" s="71"/>
      <c r="Y41" s="71"/>
      <c r="Z41" s="18">
        <f t="shared" si="0"/>
        <v>311</v>
      </c>
      <c r="AA41" s="10">
        <f t="shared" si="6"/>
        <v>4311</v>
      </c>
      <c r="AB41" s="25">
        <v>4311</v>
      </c>
      <c r="AC41" s="19">
        <f t="shared" si="7"/>
        <v>0</v>
      </c>
      <c r="AE41" s="9">
        <v>4311</v>
      </c>
      <c r="AF41" s="8">
        <f t="shared" si="3"/>
        <v>0</v>
      </c>
    </row>
    <row r="42" spans="1:32" ht="30.2" customHeight="1" x14ac:dyDescent="0.25">
      <c r="A42" s="22">
        <v>38</v>
      </c>
      <c r="B42" s="44"/>
      <c r="C42" s="103" t="s">
        <v>204</v>
      </c>
      <c r="D42" s="96" t="s">
        <v>86</v>
      </c>
      <c r="E42" s="52" t="s">
        <v>299</v>
      </c>
      <c r="F42" s="54">
        <v>12000</v>
      </c>
      <c r="G42" s="58">
        <v>3212</v>
      </c>
      <c r="H42" s="72"/>
      <c r="I42" s="73"/>
      <c r="J42" s="73"/>
      <c r="K42" s="73"/>
      <c r="L42" s="73"/>
      <c r="M42" s="73"/>
      <c r="N42" s="73"/>
      <c r="O42" s="73"/>
      <c r="P42" s="73"/>
      <c r="Q42" s="70"/>
      <c r="R42" s="71"/>
      <c r="S42" s="71"/>
      <c r="T42" s="71"/>
      <c r="U42" s="71"/>
      <c r="V42" s="71"/>
      <c r="W42" s="71"/>
      <c r="X42" s="71"/>
      <c r="Y42" s="71"/>
      <c r="Z42" s="18">
        <f t="shared" si="0"/>
        <v>3212</v>
      </c>
      <c r="AA42" s="10">
        <f t="shared" si="6"/>
        <v>15212</v>
      </c>
      <c r="AB42" s="25">
        <v>15267</v>
      </c>
      <c r="AC42" s="19">
        <f t="shared" si="7"/>
        <v>-55</v>
      </c>
      <c r="AE42" s="9">
        <v>15212</v>
      </c>
      <c r="AF42" s="8">
        <f t="shared" si="3"/>
        <v>0</v>
      </c>
    </row>
    <row r="43" spans="1:32" ht="30.2" customHeight="1" x14ac:dyDescent="0.25">
      <c r="A43" s="22">
        <v>39</v>
      </c>
      <c r="B43" s="44"/>
      <c r="C43" s="128" t="s">
        <v>292</v>
      </c>
      <c r="D43" s="96" t="s">
        <v>297</v>
      </c>
      <c r="E43" s="52" t="s">
        <v>311</v>
      </c>
      <c r="F43" s="54">
        <v>12</v>
      </c>
      <c r="G43" s="58"/>
      <c r="H43" s="72"/>
      <c r="I43" s="73"/>
      <c r="J43" s="73"/>
      <c r="K43" s="73"/>
      <c r="L43" s="73"/>
      <c r="M43" s="73"/>
      <c r="N43" s="73"/>
      <c r="O43" s="73"/>
      <c r="P43" s="73"/>
      <c r="Q43" s="70"/>
      <c r="R43" s="71"/>
      <c r="S43" s="71"/>
      <c r="T43" s="71"/>
      <c r="U43" s="71"/>
      <c r="V43" s="71"/>
      <c r="W43" s="71"/>
      <c r="X43" s="71"/>
      <c r="Y43" s="71"/>
      <c r="Z43" s="18">
        <f t="shared" si="0"/>
        <v>0</v>
      </c>
      <c r="AA43" s="10">
        <f t="shared" si="6"/>
        <v>12</v>
      </c>
      <c r="AB43" s="25">
        <v>12</v>
      </c>
      <c r="AC43" s="19">
        <f t="shared" ref="AC43" si="8">AA43-AB43</f>
        <v>0</v>
      </c>
      <c r="AE43" s="9">
        <v>12</v>
      </c>
      <c r="AF43" s="8">
        <f t="shared" si="3"/>
        <v>0</v>
      </c>
    </row>
    <row r="44" spans="1:32" ht="30.2" customHeight="1" x14ac:dyDescent="0.25">
      <c r="A44" s="22">
        <v>40</v>
      </c>
      <c r="B44" s="44"/>
      <c r="C44" s="103" t="s">
        <v>205</v>
      </c>
      <c r="D44" s="104" t="s">
        <v>36</v>
      </c>
      <c r="E44" s="56">
        <v>0</v>
      </c>
      <c r="F44" s="54">
        <v>0</v>
      </c>
      <c r="G44" s="58">
        <v>978</v>
      </c>
      <c r="H44" s="72"/>
      <c r="I44" s="73"/>
      <c r="J44" s="73"/>
      <c r="K44" s="73"/>
      <c r="L44" s="73"/>
      <c r="M44" s="73"/>
      <c r="N44" s="73"/>
      <c r="O44" s="73"/>
      <c r="P44" s="73"/>
      <c r="Q44" s="70"/>
      <c r="R44" s="71"/>
      <c r="S44" s="71"/>
      <c r="T44" s="71"/>
      <c r="U44" s="71"/>
      <c r="V44" s="71"/>
      <c r="W44" s="71"/>
      <c r="X44" s="71"/>
      <c r="Y44" s="71"/>
      <c r="Z44" s="18">
        <f t="shared" si="0"/>
        <v>978</v>
      </c>
      <c r="AA44" s="10">
        <f t="shared" si="6"/>
        <v>978</v>
      </c>
      <c r="AB44" s="25">
        <v>985</v>
      </c>
      <c r="AC44" s="19">
        <f t="shared" si="7"/>
        <v>-7</v>
      </c>
      <c r="AE44" s="9">
        <v>978</v>
      </c>
      <c r="AF44" s="8">
        <f t="shared" si="3"/>
        <v>0</v>
      </c>
    </row>
    <row r="45" spans="1:32" ht="30.2" customHeight="1" x14ac:dyDescent="0.25">
      <c r="A45" s="22">
        <v>41</v>
      </c>
      <c r="B45" s="44"/>
      <c r="C45" s="103" t="s">
        <v>28</v>
      </c>
      <c r="D45" s="96" t="s">
        <v>87</v>
      </c>
      <c r="E45" s="52" t="s">
        <v>312</v>
      </c>
      <c r="F45" s="54">
        <v>6000</v>
      </c>
      <c r="G45" s="58">
        <v>2557</v>
      </c>
      <c r="H45" s="76"/>
      <c r="I45" s="77"/>
      <c r="J45" s="77"/>
      <c r="K45" s="77"/>
      <c r="L45" s="77"/>
      <c r="M45" s="77"/>
      <c r="N45" s="77"/>
      <c r="O45" s="77"/>
      <c r="P45" s="77"/>
      <c r="Q45" s="70"/>
      <c r="R45" s="71"/>
      <c r="S45" s="71"/>
      <c r="T45" s="71"/>
      <c r="U45" s="71"/>
      <c r="V45" s="71"/>
      <c r="W45" s="71"/>
      <c r="X45" s="71"/>
      <c r="Y45" s="71"/>
      <c r="Z45" s="18">
        <f t="shared" si="0"/>
        <v>2557</v>
      </c>
      <c r="AA45" s="10">
        <f t="shared" si="6"/>
        <v>8557</v>
      </c>
      <c r="AB45" s="25">
        <v>8557</v>
      </c>
      <c r="AC45" s="19">
        <f t="shared" si="7"/>
        <v>0</v>
      </c>
      <c r="AE45" s="9">
        <v>8557</v>
      </c>
      <c r="AF45" s="8">
        <f t="shared" si="3"/>
        <v>0</v>
      </c>
    </row>
    <row r="46" spans="1:32" ht="30.2" customHeight="1" x14ac:dyDescent="0.25">
      <c r="A46" s="22">
        <v>42</v>
      </c>
      <c r="B46" s="44"/>
      <c r="C46" s="103" t="s">
        <v>206</v>
      </c>
      <c r="D46" s="96" t="s">
        <v>88</v>
      </c>
      <c r="E46" s="85">
        <v>0</v>
      </c>
      <c r="F46" s="54">
        <v>0</v>
      </c>
      <c r="G46" s="58">
        <v>771</v>
      </c>
      <c r="H46" s="72"/>
      <c r="I46" s="73"/>
      <c r="J46" s="73"/>
      <c r="K46" s="73"/>
      <c r="L46" s="73"/>
      <c r="M46" s="73"/>
      <c r="N46" s="73"/>
      <c r="O46" s="73"/>
      <c r="P46" s="73"/>
      <c r="Q46" s="70"/>
      <c r="R46" s="71"/>
      <c r="S46" s="71"/>
      <c r="T46" s="71"/>
      <c r="U46" s="71"/>
      <c r="V46" s="71"/>
      <c r="W46" s="71"/>
      <c r="X46" s="71"/>
      <c r="Y46" s="71"/>
      <c r="Z46" s="18">
        <f t="shared" si="0"/>
        <v>771</v>
      </c>
      <c r="AA46" s="10">
        <f t="shared" si="6"/>
        <v>771</v>
      </c>
      <c r="AB46" s="25">
        <v>778</v>
      </c>
      <c r="AC46" s="19">
        <f t="shared" si="7"/>
        <v>-7</v>
      </c>
      <c r="AE46" s="9">
        <v>771</v>
      </c>
      <c r="AF46" s="8">
        <f t="shared" si="3"/>
        <v>0</v>
      </c>
    </row>
    <row r="47" spans="1:32" ht="30.2" customHeight="1" x14ac:dyDescent="0.25">
      <c r="A47" s="22">
        <v>43</v>
      </c>
      <c r="B47" s="44"/>
      <c r="C47" s="103" t="s">
        <v>207</v>
      </c>
      <c r="D47" s="96" t="s">
        <v>161</v>
      </c>
      <c r="E47" s="52" t="s">
        <v>306</v>
      </c>
      <c r="F47" s="54">
        <v>392</v>
      </c>
      <c r="G47" s="59">
        <v>47</v>
      </c>
      <c r="H47" s="72"/>
      <c r="I47" s="73"/>
      <c r="J47" s="73"/>
      <c r="K47" s="73"/>
      <c r="L47" s="73"/>
      <c r="M47" s="73"/>
      <c r="N47" s="73"/>
      <c r="O47" s="73"/>
      <c r="P47" s="73"/>
      <c r="Q47" s="70"/>
      <c r="R47" s="71"/>
      <c r="S47" s="71"/>
      <c r="T47" s="71"/>
      <c r="U47" s="71"/>
      <c r="V47" s="71"/>
      <c r="W47" s="71"/>
      <c r="X47" s="71"/>
      <c r="Y47" s="71"/>
      <c r="Z47" s="18">
        <f t="shared" si="0"/>
        <v>47</v>
      </c>
      <c r="AA47" s="10">
        <f t="shared" si="6"/>
        <v>439</v>
      </c>
      <c r="AB47" s="25">
        <v>465</v>
      </c>
      <c r="AC47" s="19">
        <f t="shared" si="7"/>
        <v>-26</v>
      </c>
      <c r="AE47" s="9">
        <v>439</v>
      </c>
      <c r="AF47" s="8">
        <f t="shared" si="3"/>
        <v>0</v>
      </c>
    </row>
    <row r="48" spans="1:32" ht="30.2" customHeight="1" x14ac:dyDescent="0.25">
      <c r="A48" s="22">
        <v>44</v>
      </c>
      <c r="B48" s="44"/>
      <c r="C48" s="103" t="s">
        <v>208</v>
      </c>
      <c r="D48" s="96" t="s">
        <v>89</v>
      </c>
      <c r="E48" s="56" t="s">
        <v>367</v>
      </c>
      <c r="F48" s="54">
        <v>34000</v>
      </c>
      <c r="G48" s="58">
        <v>2163</v>
      </c>
      <c r="H48" s="72"/>
      <c r="I48" s="73"/>
      <c r="J48" s="73"/>
      <c r="K48" s="73"/>
      <c r="L48" s="73"/>
      <c r="M48" s="73"/>
      <c r="N48" s="73"/>
      <c r="O48" s="73"/>
      <c r="P48" s="73"/>
      <c r="Q48" s="70"/>
      <c r="R48" s="71"/>
      <c r="S48" s="71"/>
      <c r="T48" s="71"/>
      <c r="U48" s="71"/>
      <c r="V48" s="71"/>
      <c r="W48" s="71"/>
      <c r="X48" s="71"/>
      <c r="Y48" s="71"/>
      <c r="Z48" s="18">
        <f t="shared" si="0"/>
        <v>2163</v>
      </c>
      <c r="AA48" s="10">
        <f t="shared" si="6"/>
        <v>36163</v>
      </c>
      <c r="AB48" s="25">
        <v>36179</v>
      </c>
      <c r="AC48" s="19">
        <f t="shared" si="7"/>
        <v>-16</v>
      </c>
      <c r="AE48" s="9">
        <v>36163</v>
      </c>
      <c r="AF48" s="8">
        <f t="shared" si="3"/>
        <v>0</v>
      </c>
    </row>
    <row r="49" spans="1:32" ht="30.2" customHeight="1" x14ac:dyDescent="0.25">
      <c r="A49" s="22">
        <v>45</v>
      </c>
      <c r="B49" s="44"/>
      <c r="C49" s="103" t="s">
        <v>14</v>
      </c>
      <c r="D49" s="96" t="s">
        <v>90</v>
      </c>
      <c r="E49" s="56">
        <v>0</v>
      </c>
      <c r="F49" s="54">
        <v>0</v>
      </c>
      <c r="G49" s="58">
        <v>2260</v>
      </c>
      <c r="H49" s="76"/>
      <c r="I49" s="77"/>
      <c r="J49" s="77"/>
      <c r="K49" s="77"/>
      <c r="L49" s="77"/>
      <c r="M49" s="77"/>
      <c r="N49" s="77"/>
      <c r="O49" s="77"/>
      <c r="P49" s="77"/>
      <c r="Q49" s="70"/>
      <c r="R49" s="71"/>
      <c r="S49" s="71"/>
      <c r="T49" s="71"/>
      <c r="U49" s="71"/>
      <c r="V49" s="71"/>
      <c r="W49" s="71"/>
      <c r="X49" s="71"/>
      <c r="Y49" s="71"/>
      <c r="Z49" s="18">
        <f t="shared" si="0"/>
        <v>2260</v>
      </c>
      <c r="AA49" s="10">
        <f t="shared" si="6"/>
        <v>2260</v>
      </c>
      <c r="AB49" s="25">
        <v>2260</v>
      </c>
      <c r="AC49" s="19">
        <f t="shared" si="7"/>
        <v>0</v>
      </c>
      <c r="AE49" s="9">
        <v>2260</v>
      </c>
      <c r="AF49" s="8">
        <f t="shared" si="3"/>
        <v>0</v>
      </c>
    </row>
    <row r="50" spans="1:32" ht="30.2" customHeight="1" x14ac:dyDescent="0.25">
      <c r="A50" s="22">
        <v>46</v>
      </c>
      <c r="B50" s="44"/>
      <c r="C50" s="103" t="s">
        <v>209</v>
      </c>
      <c r="D50" s="96" t="s">
        <v>91</v>
      </c>
      <c r="E50" s="52" t="s">
        <v>338</v>
      </c>
      <c r="F50" s="54">
        <v>1260</v>
      </c>
      <c r="G50" s="58">
        <v>67</v>
      </c>
      <c r="H50" s="76"/>
      <c r="I50" s="77"/>
      <c r="J50" s="77"/>
      <c r="K50" s="77"/>
      <c r="L50" s="77"/>
      <c r="M50" s="77"/>
      <c r="N50" s="77"/>
      <c r="O50" s="77"/>
      <c r="P50" s="77"/>
      <c r="Q50" s="74"/>
      <c r="R50" s="71"/>
      <c r="S50" s="71"/>
      <c r="T50" s="71"/>
      <c r="U50" s="71"/>
      <c r="V50" s="71"/>
      <c r="W50" s="71"/>
      <c r="X50" s="71"/>
      <c r="Y50" s="71"/>
      <c r="Z50" s="18">
        <f t="shared" si="0"/>
        <v>67</v>
      </c>
      <c r="AA50" s="10">
        <f t="shared" si="6"/>
        <v>1327</v>
      </c>
      <c r="AB50" s="25">
        <v>1327</v>
      </c>
      <c r="AC50" s="19">
        <f t="shared" si="7"/>
        <v>0</v>
      </c>
      <c r="AE50" s="9">
        <v>1327</v>
      </c>
      <c r="AF50" s="8">
        <f t="shared" si="3"/>
        <v>0</v>
      </c>
    </row>
    <row r="51" spans="1:32" ht="30.2" customHeight="1" x14ac:dyDescent="0.25">
      <c r="A51" s="22">
        <v>47</v>
      </c>
      <c r="B51" s="44"/>
      <c r="C51" s="103" t="s">
        <v>210</v>
      </c>
      <c r="D51" s="96" t="s">
        <v>92</v>
      </c>
      <c r="E51" s="52">
        <v>0</v>
      </c>
      <c r="F51" s="54">
        <v>0</v>
      </c>
      <c r="G51" s="58">
        <v>531</v>
      </c>
      <c r="H51" s="76"/>
      <c r="I51" s="77"/>
      <c r="J51" s="77"/>
      <c r="K51" s="77"/>
      <c r="L51" s="77"/>
      <c r="M51" s="77"/>
      <c r="N51" s="77"/>
      <c r="O51" s="77"/>
      <c r="P51" s="77"/>
      <c r="Q51" s="70"/>
      <c r="R51" s="71"/>
      <c r="S51" s="71"/>
      <c r="T51" s="71"/>
      <c r="U51" s="71"/>
      <c r="V51" s="71"/>
      <c r="W51" s="71"/>
      <c r="X51" s="71"/>
      <c r="Y51" s="71"/>
      <c r="Z51" s="18">
        <f t="shared" si="0"/>
        <v>531</v>
      </c>
      <c r="AA51" s="10">
        <f t="shared" si="6"/>
        <v>531</v>
      </c>
      <c r="AB51" s="25">
        <v>536</v>
      </c>
      <c r="AC51" s="19">
        <f t="shared" si="7"/>
        <v>-5</v>
      </c>
      <c r="AE51" s="9">
        <v>531</v>
      </c>
      <c r="AF51" s="8">
        <f t="shared" si="3"/>
        <v>0</v>
      </c>
    </row>
    <row r="52" spans="1:32" ht="30.2" customHeight="1" x14ac:dyDescent="0.25">
      <c r="A52" s="22">
        <v>48</v>
      </c>
      <c r="B52" s="44"/>
      <c r="C52" s="103" t="s">
        <v>211</v>
      </c>
      <c r="D52" s="96" t="s">
        <v>93</v>
      </c>
      <c r="E52" s="52" t="s">
        <v>335</v>
      </c>
      <c r="F52" s="54">
        <v>972</v>
      </c>
      <c r="G52" s="59">
        <v>88</v>
      </c>
      <c r="H52" s="72"/>
      <c r="I52" s="73"/>
      <c r="J52" s="73"/>
      <c r="K52" s="73"/>
      <c r="L52" s="73"/>
      <c r="M52" s="73"/>
      <c r="N52" s="73"/>
      <c r="O52" s="73"/>
      <c r="P52" s="73"/>
      <c r="Q52" s="70"/>
      <c r="R52" s="71"/>
      <c r="S52" s="71"/>
      <c r="T52" s="71"/>
      <c r="U52" s="71"/>
      <c r="V52" s="71"/>
      <c r="W52" s="71"/>
      <c r="X52" s="71"/>
      <c r="Y52" s="71"/>
      <c r="Z52" s="18">
        <f t="shared" si="0"/>
        <v>88</v>
      </c>
      <c r="AA52" s="10">
        <f t="shared" si="6"/>
        <v>1060</v>
      </c>
      <c r="AB52" s="25">
        <v>1068</v>
      </c>
      <c r="AC52" s="19">
        <f t="shared" si="7"/>
        <v>-8</v>
      </c>
      <c r="AE52" s="9">
        <v>1060</v>
      </c>
      <c r="AF52" s="8">
        <f t="shared" si="3"/>
        <v>0</v>
      </c>
    </row>
    <row r="53" spans="1:32" ht="30.2" customHeight="1" x14ac:dyDescent="0.25">
      <c r="A53" s="22">
        <v>49</v>
      </c>
      <c r="B53" s="44"/>
      <c r="C53" s="103" t="s">
        <v>212</v>
      </c>
      <c r="D53" s="96" t="s">
        <v>37</v>
      </c>
      <c r="E53" s="52" t="s">
        <v>345</v>
      </c>
      <c r="F53" s="54">
        <v>8750</v>
      </c>
      <c r="G53" s="58">
        <v>2710</v>
      </c>
      <c r="H53" s="72"/>
      <c r="I53" s="73"/>
      <c r="J53" s="73"/>
      <c r="K53" s="73"/>
      <c r="L53" s="73"/>
      <c r="M53" s="73"/>
      <c r="N53" s="73"/>
      <c r="O53" s="73"/>
      <c r="P53" s="73"/>
      <c r="Q53" s="74"/>
      <c r="R53" s="71"/>
      <c r="S53" s="71"/>
      <c r="T53" s="71"/>
      <c r="U53" s="71"/>
      <c r="V53" s="71"/>
      <c r="W53" s="71"/>
      <c r="X53" s="71"/>
      <c r="Y53" s="71"/>
      <c r="Z53" s="18">
        <f t="shared" si="0"/>
        <v>2710</v>
      </c>
      <c r="AA53" s="10">
        <f t="shared" si="6"/>
        <v>11460</v>
      </c>
      <c r="AB53" s="25">
        <v>11472</v>
      </c>
      <c r="AC53" s="19">
        <f t="shared" si="7"/>
        <v>-12</v>
      </c>
      <c r="AE53" s="9">
        <v>11460</v>
      </c>
      <c r="AF53" s="8">
        <f t="shared" si="3"/>
        <v>0</v>
      </c>
    </row>
    <row r="54" spans="1:32" ht="30.2" customHeight="1" x14ac:dyDescent="0.25">
      <c r="A54" s="22">
        <v>50</v>
      </c>
      <c r="B54" s="44"/>
      <c r="C54" s="103" t="s">
        <v>213</v>
      </c>
      <c r="D54" s="96" t="s">
        <v>94</v>
      </c>
      <c r="E54" s="56">
        <v>600</v>
      </c>
      <c r="F54" s="54">
        <v>600</v>
      </c>
      <c r="G54" s="59">
        <v>24</v>
      </c>
      <c r="H54" s="72"/>
      <c r="I54" s="73"/>
      <c r="J54" s="73"/>
      <c r="K54" s="73"/>
      <c r="L54" s="73"/>
      <c r="M54" s="73"/>
      <c r="N54" s="73"/>
      <c r="O54" s="73"/>
      <c r="P54" s="73"/>
      <c r="Q54" s="70"/>
      <c r="R54" s="71"/>
      <c r="S54" s="71"/>
      <c r="T54" s="71"/>
      <c r="U54" s="71"/>
      <c r="V54" s="71"/>
      <c r="W54" s="71"/>
      <c r="X54" s="71"/>
      <c r="Y54" s="71"/>
      <c r="Z54" s="18">
        <f t="shared" si="0"/>
        <v>24</v>
      </c>
      <c r="AA54" s="10">
        <f t="shared" si="6"/>
        <v>624</v>
      </c>
      <c r="AB54" s="25">
        <v>-190</v>
      </c>
      <c r="AC54" s="19">
        <f t="shared" si="7"/>
        <v>814</v>
      </c>
      <c r="AE54" s="9">
        <v>-190</v>
      </c>
      <c r="AF54" s="8">
        <f t="shared" si="3"/>
        <v>-814</v>
      </c>
    </row>
    <row r="55" spans="1:32" ht="30.2" customHeight="1" x14ac:dyDescent="0.25">
      <c r="A55" s="22">
        <v>51</v>
      </c>
      <c r="B55" s="44"/>
      <c r="C55" s="103" t="s">
        <v>15</v>
      </c>
      <c r="D55" s="96" t="s">
        <v>95</v>
      </c>
      <c r="E55" s="56" t="s">
        <v>302</v>
      </c>
      <c r="F55" s="54">
        <v>525</v>
      </c>
      <c r="G55" s="58">
        <v>3680</v>
      </c>
      <c r="H55" s="72"/>
      <c r="I55" s="73"/>
      <c r="J55" s="73"/>
      <c r="K55" s="73"/>
      <c r="L55" s="73"/>
      <c r="M55" s="73"/>
      <c r="N55" s="73"/>
      <c r="O55" s="73"/>
      <c r="P55" s="73"/>
      <c r="Q55" s="70"/>
      <c r="R55" s="71"/>
      <c r="S55" s="71"/>
      <c r="T55" s="71"/>
      <c r="U55" s="71"/>
      <c r="V55" s="71"/>
      <c r="W55" s="71"/>
      <c r="X55" s="71"/>
      <c r="Y55" s="71"/>
      <c r="Z55" s="18">
        <f t="shared" si="0"/>
        <v>3680</v>
      </c>
      <c r="AA55" s="10">
        <f t="shared" si="6"/>
        <v>4205</v>
      </c>
      <c r="AB55" s="25">
        <v>4311</v>
      </c>
      <c r="AC55" s="19">
        <f t="shared" si="7"/>
        <v>-106</v>
      </c>
      <c r="AE55" s="9">
        <v>4205</v>
      </c>
      <c r="AF55" s="8">
        <f t="shared" si="3"/>
        <v>0</v>
      </c>
    </row>
    <row r="56" spans="1:32" ht="30.2" customHeight="1" x14ac:dyDescent="0.25">
      <c r="A56" s="22">
        <v>52</v>
      </c>
      <c r="B56" s="44"/>
      <c r="C56" s="103" t="s">
        <v>214</v>
      </c>
      <c r="D56" s="96" t="s">
        <v>96</v>
      </c>
      <c r="E56" s="85">
        <v>0</v>
      </c>
      <c r="F56" s="54">
        <v>0</v>
      </c>
      <c r="G56" s="58">
        <v>1856</v>
      </c>
      <c r="H56" s="72"/>
      <c r="I56" s="73"/>
      <c r="J56" s="73"/>
      <c r="K56" s="73"/>
      <c r="L56" s="73"/>
      <c r="M56" s="73"/>
      <c r="N56" s="73"/>
      <c r="O56" s="73"/>
      <c r="P56" s="73"/>
      <c r="Q56" s="70"/>
      <c r="R56" s="71"/>
      <c r="S56" s="71"/>
      <c r="T56" s="71"/>
      <c r="U56" s="71"/>
      <c r="V56" s="71"/>
      <c r="W56" s="71"/>
      <c r="X56" s="71"/>
      <c r="Y56" s="71"/>
      <c r="Z56" s="18">
        <f t="shared" si="0"/>
        <v>1856</v>
      </c>
      <c r="AA56" s="10">
        <f t="shared" si="6"/>
        <v>1856</v>
      </c>
      <c r="AB56" s="25">
        <v>1879</v>
      </c>
      <c r="AC56" s="19">
        <f t="shared" si="7"/>
        <v>-23</v>
      </c>
      <c r="AE56" s="9">
        <v>1856</v>
      </c>
      <c r="AF56" s="8">
        <f t="shared" si="3"/>
        <v>0</v>
      </c>
    </row>
    <row r="57" spans="1:32" ht="31.7" customHeight="1" x14ac:dyDescent="0.25">
      <c r="A57" s="22">
        <v>53</v>
      </c>
      <c r="B57" s="44"/>
      <c r="C57" s="103" t="s">
        <v>215</v>
      </c>
      <c r="D57" s="96" t="s">
        <v>97</v>
      </c>
      <c r="E57" s="56">
        <v>0</v>
      </c>
      <c r="F57" s="54">
        <v>0</v>
      </c>
      <c r="G57" s="58">
        <v>1028</v>
      </c>
      <c r="H57" s="72"/>
      <c r="I57" s="73"/>
      <c r="J57" s="73"/>
      <c r="K57" s="73"/>
      <c r="L57" s="73"/>
      <c r="M57" s="73"/>
      <c r="N57" s="73"/>
      <c r="O57" s="73"/>
      <c r="P57" s="73"/>
      <c r="Q57" s="70"/>
      <c r="R57" s="71"/>
      <c r="S57" s="71"/>
      <c r="T57" s="71"/>
      <c r="U57" s="71"/>
      <c r="V57" s="71"/>
      <c r="W57" s="71"/>
      <c r="X57" s="71"/>
      <c r="Y57" s="71"/>
      <c r="Z57" s="18">
        <f t="shared" si="0"/>
        <v>1028</v>
      </c>
      <c r="AA57" s="10">
        <f t="shared" si="6"/>
        <v>1028</v>
      </c>
      <c r="AB57" s="25">
        <v>1028</v>
      </c>
      <c r="AC57" s="19">
        <f t="shared" si="7"/>
        <v>0</v>
      </c>
      <c r="AE57" s="9">
        <v>1028</v>
      </c>
      <c r="AF57" s="8">
        <f t="shared" si="3"/>
        <v>0</v>
      </c>
    </row>
    <row r="58" spans="1:32" ht="30.2" customHeight="1" x14ac:dyDescent="0.25">
      <c r="A58" s="22">
        <v>54</v>
      </c>
      <c r="B58" s="44"/>
      <c r="C58" s="103" t="s">
        <v>216</v>
      </c>
      <c r="D58" s="96" t="s">
        <v>98</v>
      </c>
      <c r="E58" s="56" t="s">
        <v>313</v>
      </c>
      <c r="F58" s="54">
        <v>7070</v>
      </c>
      <c r="G58" s="58">
        <v>399</v>
      </c>
      <c r="H58" s="72"/>
      <c r="I58" s="73"/>
      <c r="J58" s="73"/>
      <c r="K58" s="73"/>
      <c r="L58" s="73"/>
      <c r="M58" s="73"/>
      <c r="N58" s="73"/>
      <c r="O58" s="73"/>
      <c r="P58" s="73"/>
      <c r="Q58" s="70"/>
      <c r="R58" s="71"/>
      <c r="S58" s="71"/>
      <c r="T58" s="71"/>
      <c r="U58" s="71"/>
      <c r="V58" s="71"/>
      <c r="W58" s="71"/>
      <c r="X58" s="71"/>
      <c r="Y58" s="71"/>
      <c r="Z58" s="18">
        <f t="shared" si="0"/>
        <v>399</v>
      </c>
      <c r="AA58" s="10">
        <f t="shared" si="6"/>
        <v>7469</v>
      </c>
      <c r="AB58" s="25">
        <v>7505</v>
      </c>
      <c r="AC58" s="19">
        <f t="shared" si="7"/>
        <v>-36</v>
      </c>
      <c r="AE58" s="9">
        <v>7469</v>
      </c>
      <c r="AF58" s="8">
        <f t="shared" si="3"/>
        <v>0</v>
      </c>
    </row>
    <row r="59" spans="1:32" ht="30.2" customHeight="1" x14ac:dyDescent="0.25">
      <c r="A59" s="22">
        <v>55</v>
      </c>
      <c r="B59" s="43"/>
      <c r="C59" s="103" t="s">
        <v>217</v>
      </c>
      <c r="D59" s="105" t="s">
        <v>99</v>
      </c>
      <c r="E59" s="52">
        <v>0</v>
      </c>
      <c r="F59" s="54">
        <v>0</v>
      </c>
      <c r="G59" s="58">
        <v>1352</v>
      </c>
      <c r="H59" s="72"/>
      <c r="I59" s="73"/>
      <c r="J59" s="73"/>
      <c r="K59" s="73"/>
      <c r="L59" s="73"/>
      <c r="M59" s="73"/>
      <c r="N59" s="73"/>
      <c r="O59" s="73"/>
      <c r="P59" s="73"/>
      <c r="Q59" s="70"/>
      <c r="R59" s="71"/>
      <c r="S59" s="71"/>
      <c r="T59" s="71"/>
      <c r="U59" s="71"/>
      <c r="V59" s="71"/>
      <c r="W59" s="71"/>
      <c r="X59" s="71"/>
      <c r="Y59" s="71"/>
      <c r="Z59" s="18">
        <f t="shared" si="0"/>
        <v>1352</v>
      </c>
      <c r="AA59" s="10">
        <f t="shared" si="6"/>
        <v>1352</v>
      </c>
      <c r="AB59" s="25">
        <v>1352</v>
      </c>
      <c r="AC59" s="19">
        <f t="shared" si="7"/>
        <v>0</v>
      </c>
      <c r="AE59" s="9">
        <v>1352</v>
      </c>
      <c r="AF59" s="8">
        <f t="shared" si="3"/>
        <v>0</v>
      </c>
    </row>
    <row r="60" spans="1:32" ht="30.2" customHeight="1" x14ac:dyDescent="0.25">
      <c r="A60" s="22">
        <v>56</v>
      </c>
      <c r="B60" s="43"/>
      <c r="C60" s="132" t="s">
        <v>353</v>
      </c>
      <c r="D60" s="105" t="s">
        <v>354</v>
      </c>
      <c r="E60" s="134">
        <v>500</v>
      </c>
      <c r="F60" s="54">
        <v>500</v>
      </c>
      <c r="G60" s="58"/>
      <c r="H60" s="72"/>
      <c r="I60" s="73"/>
      <c r="J60" s="73"/>
      <c r="K60" s="73"/>
      <c r="L60" s="73"/>
      <c r="M60" s="73"/>
      <c r="N60" s="73"/>
      <c r="O60" s="73"/>
      <c r="P60" s="73"/>
      <c r="Q60" s="70"/>
      <c r="R60" s="71"/>
      <c r="S60" s="71"/>
      <c r="T60" s="71"/>
      <c r="U60" s="71"/>
      <c r="V60" s="71"/>
      <c r="W60" s="71"/>
      <c r="X60" s="71"/>
      <c r="Y60" s="71"/>
      <c r="Z60" s="18">
        <f t="shared" si="0"/>
        <v>0</v>
      </c>
      <c r="AA60" s="10">
        <f t="shared" si="6"/>
        <v>500</v>
      </c>
      <c r="AB60" s="25">
        <v>500</v>
      </c>
      <c r="AC60" s="19">
        <f t="shared" si="7"/>
        <v>0</v>
      </c>
      <c r="AE60" s="9">
        <v>500</v>
      </c>
      <c r="AF60" s="8">
        <f t="shared" si="3"/>
        <v>0</v>
      </c>
    </row>
    <row r="61" spans="1:32" ht="30.2" customHeight="1" x14ac:dyDescent="0.25">
      <c r="A61" s="22">
        <v>57</v>
      </c>
      <c r="B61" s="43"/>
      <c r="C61" s="102" t="s">
        <v>218</v>
      </c>
      <c r="D61" s="106" t="s">
        <v>100</v>
      </c>
      <c r="E61" s="134">
        <v>500</v>
      </c>
      <c r="F61" s="54">
        <v>500</v>
      </c>
      <c r="G61" s="58">
        <v>576</v>
      </c>
      <c r="H61" s="72"/>
      <c r="I61" s="73"/>
      <c r="J61" s="73"/>
      <c r="K61" s="73"/>
      <c r="L61" s="73"/>
      <c r="M61" s="73"/>
      <c r="N61" s="73"/>
      <c r="O61" s="73"/>
      <c r="P61" s="73"/>
      <c r="Q61" s="70"/>
      <c r="R61" s="71"/>
      <c r="S61" s="71"/>
      <c r="T61" s="71"/>
      <c r="U61" s="71"/>
      <c r="V61" s="71"/>
      <c r="W61" s="71"/>
      <c r="X61" s="71"/>
      <c r="Y61" s="71"/>
      <c r="Z61" s="18">
        <f t="shared" si="0"/>
        <v>576</v>
      </c>
      <c r="AA61" s="10">
        <f t="shared" si="6"/>
        <v>1076</v>
      </c>
      <c r="AB61" s="25">
        <v>1079</v>
      </c>
      <c r="AC61" s="19">
        <f t="shared" si="7"/>
        <v>-3</v>
      </c>
      <c r="AE61" s="9">
        <v>1076</v>
      </c>
      <c r="AF61" s="8">
        <f t="shared" si="3"/>
        <v>0</v>
      </c>
    </row>
    <row r="62" spans="1:32" ht="30.2" customHeight="1" x14ac:dyDescent="0.25">
      <c r="A62" s="22">
        <v>58</v>
      </c>
      <c r="B62" s="43"/>
      <c r="C62" s="102" t="s">
        <v>219</v>
      </c>
      <c r="D62" s="96" t="s">
        <v>101</v>
      </c>
      <c r="E62" s="52" t="s">
        <v>370</v>
      </c>
      <c r="F62" s="54">
        <v>3140</v>
      </c>
      <c r="G62" s="59">
        <v>99</v>
      </c>
      <c r="H62" s="76"/>
      <c r="I62" s="77"/>
      <c r="J62" s="77"/>
      <c r="K62" s="77"/>
      <c r="L62" s="77"/>
      <c r="M62" s="77"/>
      <c r="N62" s="77"/>
      <c r="O62" s="77"/>
      <c r="P62" s="77"/>
      <c r="Q62" s="74"/>
      <c r="R62" s="71"/>
      <c r="S62" s="71"/>
      <c r="T62" s="71"/>
      <c r="U62" s="71"/>
      <c r="V62" s="71"/>
      <c r="W62" s="71"/>
      <c r="X62" s="71"/>
      <c r="Y62" s="71"/>
      <c r="Z62" s="18">
        <f t="shared" si="0"/>
        <v>99</v>
      </c>
      <c r="AA62" s="10">
        <f t="shared" si="6"/>
        <v>3239</v>
      </c>
      <c r="AB62" s="25">
        <v>3241</v>
      </c>
      <c r="AC62" s="19">
        <f t="shared" si="7"/>
        <v>-2</v>
      </c>
      <c r="AE62" s="9">
        <v>3239</v>
      </c>
      <c r="AF62" s="8">
        <f t="shared" si="3"/>
        <v>0</v>
      </c>
    </row>
    <row r="63" spans="1:32" ht="30.2" customHeight="1" x14ac:dyDescent="0.25">
      <c r="A63" s="22">
        <v>59</v>
      </c>
      <c r="B63" s="43"/>
      <c r="C63" s="102" t="s">
        <v>220</v>
      </c>
      <c r="D63" s="96" t="s">
        <v>102</v>
      </c>
      <c r="E63" s="56" t="s">
        <v>356</v>
      </c>
      <c r="F63" s="54">
        <v>9000</v>
      </c>
      <c r="G63" s="58">
        <v>803</v>
      </c>
      <c r="H63" s="72"/>
      <c r="I63" s="73"/>
      <c r="J63" s="73"/>
      <c r="K63" s="73"/>
      <c r="L63" s="73"/>
      <c r="M63" s="73"/>
      <c r="N63" s="73"/>
      <c r="O63" s="73"/>
      <c r="P63" s="73"/>
      <c r="Q63" s="70"/>
      <c r="R63" s="71"/>
      <c r="S63" s="71"/>
      <c r="T63" s="71"/>
      <c r="U63" s="71"/>
      <c r="V63" s="71"/>
      <c r="W63" s="71"/>
      <c r="X63" s="71"/>
      <c r="Y63" s="71"/>
      <c r="Z63" s="18">
        <f t="shared" si="0"/>
        <v>803</v>
      </c>
      <c r="AA63" s="10">
        <f t="shared" si="6"/>
        <v>9803</v>
      </c>
      <c r="AB63" s="25">
        <v>9821</v>
      </c>
      <c r="AC63" s="19">
        <f t="shared" si="7"/>
        <v>-18</v>
      </c>
      <c r="AE63" s="9">
        <v>9803</v>
      </c>
      <c r="AF63" s="8">
        <f t="shared" si="3"/>
        <v>0</v>
      </c>
    </row>
    <row r="64" spans="1:32" ht="30.2" customHeight="1" x14ac:dyDescent="0.25">
      <c r="A64" s="22">
        <v>60</v>
      </c>
      <c r="B64" s="43"/>
      <c r="C64" s="102" t="s">
        <v>221</v>
      </c>
      <c r="D64" s="96" t="s">
        <v>103</v>
      </c>
      <c r="E64" s="56">
        <v>250</v>
      </c>
      <c r="F64" s="54">
        <v>250</v>
      </c>
      <c r="G64" s="58">
        <v>196</v>
      </c>
      <c r="H64" s="76"/>
      <c r="I64" s="77"/>
      <c r="J64" s="77"/>
      <c r="K64" s="77"/>
      <c r="L64" s="77"/>
      <c r="M64" s="77"/>
      <c r="N64" s="77"/>
      <c r="O64" s="77"/>
      <c r="P64" s="77"/>
      <c r="Q64" s="70"/>
      <c r="R64" s="71"/>
      <c r="S64" s="71"/>
      <c r="T64" s="71"/>
      <c r="U64" s="71"/>
      <c r="V64" s="71"/>
      <c r="W64" s="71"/>
      <c r="X64" s="71"/>
      <c r="Y64" s="71"/>
      <c r="Z64" s="18">
        <f t="shared" si="0"/>
        <v>196</v>
      </c>
      <c r="AA64" s="10">
        <f t="shared" si="6"/>
        <v>446</v>
      </c>
      <c r="AB64" s="25">
        <v>449</v>
      </c>
      <c r="AC64" s="19">
        <f t="shared" si="7"/>
        <v>-3</v>
      </c>
      <c r="AE64" s="9">
        <v>446</v>
      </c>
      <c r="AF64" s="8">
        <f t="shared" si="3"/>
        <v>0</v>
      </c>
    </row>
    <row r="65" spans="1:32" ht="35.450000000000003" customHeight="1" x14ac:dyDescent="0.25">
      <c r="A65" s="22">
        <v>61</v>
      </c>
      <c r="B65" s="43"/>
      <c r="C65" s="102" t="s">
        <v>222</v>
      </c>
      <c r="D65" s="96" t="s">
        <v>104</v>
      </c>
      <c r="E65" s="56">
        <v>0</v>
      </c>
      <c r="F65" s="54">
        <v>0</v>
      </c>
      <c r="G65" s="58">
        <v>543</v>
      </c>
      <c r="H65" s="72"/>
      <c r="I65" s="73"/>
      <c r="J65" s="73"/>
      <c r="K65" s="73"/>
      <c r="L65" s="73"/>
      <c r="M65" s="73"/>
      <c r="N65" s="73"/>
      <c r="O65" s="73"/>
      <c r="P65" s="73"/>
      <c r="Q65" s="70"/>
      <c r="R65" s="71"/>
      <c r="S65" s="71"/>
      <c r="T65" s="71"/>
      <c r="U65" s="71"/>
      <c r="V65" s="71"/>
      <c r="W65" s="71"/>
      <c r="X65" s="71"/>
      <c r="Y65" s="71"/>
      <c r="Z65" s="18">
        <f t="shared" si="0"/>
        <v>543</v>
      </c>
      <c r="AA65" s="10">
        <f t="shared" si="6"/>
        <v>543</v>
      </c>
      <c r="AB65" s="25">
        <v>546</v>
      </c>
      <c r="AC65" s="19">
        <f t="shared" si="7"/>
        <v>-3</v>
      </c>
      <c r="AE65" s="9">
        <v>543</v>
      </c>
      <c r="AF65" s="8">
        <f t="shared" si="3"/>
        <v>0</v>
      </c>
    </row>
    <row r="66" spans="1:32" ht="30.2" customHeight="1" x14ac:dyDescent="0.25">
      <c r="A66" s="22">
        <v>62</v>
      </c>
      <c r="B66" s="43"/>
      <c r="C66" s="102" t="s">
        <v>223</v>
      </c>
      <c r="D66" s="96" t="s">
        <v>105</v>
      </c>
      <c r="E66" s="56">
        <v>0</v>
      </c>
      <c r="F66" s="54">
        <v>0</v>
      </c>
      <c r="G66" s="58">
        <v>972</v>
      </c>
      <c r="H66" s="72"/>
      <c r="I66" s="73"/>
      <c r="J66" s="73"/>
      <c r="K66" s="73"/>
      <c r="L66" s="73"/>
      <c r="M66" s="73"/>
      <c r="N66" s="73"/>
      <c r="O66" s="73"/>
      <c r="P66" s="73"/>
      <c r="Q66" s="70"/>
      <c r="R66" s="71"/>
      <c r="S66" s="71"/>
      <c r="T66" s="71"/>
      <c r="U66" s="71"/>
      <c r="V66" s="71"/>
      <c r="W66" s="71"/>
      <c r="X66" s="71"/>
      <c r="Y66" s="71"/>
      <c r="Z66" s="18">
        <f t="shared" si="0"/>
        <v>972</v>
      </c>
      <c r="AA66" s="10">
        <f t="shared" si="6"/>
        <v>972</v>
      </c>
      <c r="AB66" s="25">
        <v>975</v>
      </c>
      <c r="AC66" s="19">
        <f t="shared" si="7"/>
        <v>-3</v>
      </c>
      <c r="AE66" s="9">
        <v>972</v>
      </c>
      <c r="AF66" s="8">
        <f t="shared" si="3"/>
        <v>0</v>
      </c>
    </row>
    <row r="67" spans="1:32" ht="30.2" customHeight="1" x14ac:dyDescent="0.25">
      <c r="A67" s="22">
        <v>63</v>
      </c>
      <c r="B67" s="43"/>
      <c r="C67" s="102" t="s">
        <v>224</v>
      </c>
      <c r="D67" s="96" t="s">
        <v>106</v>
      </c>
      <c r="E67" s="56" t="s">
        <v>314</v>
      </c>
      <c r="F67" s="54">
        <v>9000</v>
      </c>
      <c r="G67" s="58">
        <v>527</v>
      </c>
      <c r="H67" s="72"/>
      <c r="I67" s="73"/>
      <c r="J67" s="73"/>
      <c r="K67" s="73"/>
      <c r="L67" s="73"/>
      <c r="M67" s="73"/>
      <c r="N67" s="73"/>
      <c r="O67" s="73"/>
      <c r="P67" s="73"/>
      <c r="Q67" s="70"/>
      <c r="R67" s="71"/>
      <c r="S67" s="71"/>
      <c r="T67" s="71"/>
      <c r="U67" s="71"/>
      <c r="V67" s="71"/>
      <c r="W67" s="71"/>
      <c r="X67" s="71"/>
      <c r="Y67" s="71"/>
      <c r="Z67" s="18">
        <f t="shared" si="0"/>
        <v>527</v>
      </c>
      <c r="AA67" s="10">
        <f t="shared" si="6"/>
        <v>9527</v>
      </c>
      <c r="AB67" s="25">
        <v>9557</v>
      </c>
      <c r="AC67" s="19">
        <f t="shared" si="7"/>
        <v>-30</v>
      </c>
      <c r="AE67" s="9">
        <v>9527</v>
      </c>
      <c r="AF67" s="8">
        <f t="shared" si="3"/>
        <v>0</v>
      </c>
    </row>
    <row r="68" spans="1:32" ht="30.2" customHeight="1" x14ac:dyDescent="0.25">
      <c r="A68" s="22">
        <v>64</v>
      </c>
      <c r="B68" s="43"/>
      <c r="C68" s="107" t="s">
        <v>225</v>
      </c>
      <c r="D68" s="96" t="s">
        <v>107</v>
      </c>
      <c r="E68" s="56">
        <v>0</v>
      </c>
      <c r="F68" s="54">
        <v>0</v>
      </c>
      <c r="G68" s="58">
        <v>1037</v>
      </c>
      <c r="H68" s="72"/>
      <c r="I68" s="73"/>
      <c r="J68" s="73"/>
      <c r="K68" s="73"/>
      <c r="L68" s="73"/>
      <c r="M68" s="73"/>
      <c r="N68" s="73"/>
      <c r="O68" s="73"/>
      <c r="P68" s="73"/>
      <c r="Q68" s="70"/>
      <c r="R68" s="71"/>
      <c r="S68" s="71"/>
      <c r="T68" s="71"/>
      <c r="U68" s="71"/>
      <c r="V68" s="71"/>
      <c r="W68" s="71"/>
      <c r="X68" s="71"/>
      <c r="Y68" s="71"/>
      <c r="Z68" s="18">
        <f t="shared" si="0"/>
        <v>1037</v>
      </c>
      <c r="AA68" s="10">
        <f t="shared" si="6"/>
        <v>1037</v>
      </c>
      <c r="AB68" s="25">
        <v>1045</v>
      </c>
      <c r="AC68" s="19">
        <f t="shared" si="7"/>
        <v>-8</v>
      </c>
      <c r="AE68" s="9">
        <v>1037</v>
      </c>
      <c r="AF68" s="8">
        <f t="shared" si="3"/>
        <v>0</v>
      </c>
    </row>
    <row r="69" spans="1:32" ht="30.2" customHeight="1" x14ac:dyDescent="0.25">
      <c r="A69" s="22">
        <v>65</v>
      </c>
      <c r="B69" s="43"/>
      <c r="C69" s="102" t="s">
        <v>226</v>
      </c>
      <c r="D69" s="96" t="s">
        <v>38</v>
      </c>
      <c r="E69" s="56" t="s">
        <v>315</v>
      </c>
      <c r="F69" s="54">
        <v>2160</v>
      </c>
      <c r="G69" s="58">
        <v>37</v>
      </c>
      <c r="H69" s="72"/>
      <c r="I69" s="73"/>
      <c r="J69" s="73"/>
      <c r="K69" s="73"/>
      <c r="L69" s="73"/>
      <c r="M69" s="73"/>
      <c r="N69" s="73"/>
      <c r="O69" s="73"/>
      <c r="P69" s="73"/>
      <c r="Q69" s="70"/>
      <c r="R69" s="71"/>
      <c r="S69" s="71"/>
      <c r="T69" s="71"/>
      <c r="U69" s="71"/>
      <c r="V69" s="71"/>
      <c r="W69" s="71"/>
      <c r="X69" s="71"/>
      <c r="Y69" s="71"/>
      <c r="Z69" s="18">
        <f t="shared" si="0"/>
        <v>37</v>
      </c>
      <c r="AA69" s="10">
        <f t="shared" si="6"/>
        <v>2197</v>
      </c>
      <c r="AB69" s="25">
        <v>2195</v>
      </c>
      <c r="AC69" s="19">
        <f t="shared" si="7"/>
        <v>2</v>
      </c>
      <c r="AE69" s="9">
        <v>2193</v>
      </c>
      <c r="AF69" s="8">
        <f t="shared" si="3"/>
        <v>-4</v>
      </c>
    </row>
    <row r="70" spans="1:32" ht="30.2" customHeight="1" x14ac:dyDescent="0.25">
      <c r="A70" s="22">
        <v>66</v>
      </c>
      <c r="B70" s="42"/>
      <c r="C70" s="102" t="s">
        <v>227</v>
      </c>
      <c r="D70" s="96" t="s">
        <v>108</v>
      </c>
      <c r="E70" s="52">
        <v>0</v>
      </c>
      <c r="F70" s="54">
        <v>0</v>
      </c>
      <c r="G70" s="58">
        <v>995</v>
      </c>
      <c r="H70" s="72"/>
      <c r="I70" s="73"/>
      <c r="J70" s="73"/>
      <c r="K70" s="73"/>
      <c r="L70" s="73"/>
      <c r="M70" s="73"/>
      <c r="N70" s="73"/>
      <c r="O70" s="73"/>
      <c r="P70" s="73"/>
      <c r="Q70" s="70"/>
      <c r="R70" s="71"/>
      <c r="S70" s="71"/>
      <c r="T70" s="71"/>
      <c r="U70" s="71"/>
      <c r="V70" s="71"/>
      <c r="W70" s="71"/>
      <c r="X70" s="71"/>
      <c r="Y70" s="71"/>
      <c r="Z70" s="18">
        <f t="shared" ref="Z70:Z136" si="9">G70+H70+I70+J70+K70+L70+M70+N70+O70+P70+Q70+R70+S70+T70+U70+V70+W70+X70+Y70</f>
        <v>995</v>
      </c>
      <c r="AA70" s="10">
        <f t="shared" si="6"/>
        <v>995</v>
      </c>
      <c r="AB70" s="25">
        <v>998</v>
      </c>
      <c r="AC70" s="19">
        <f t="shared" si="7"/>
        <v>-3</v>
      </c>
      <c r="AE70" s="9">
        <v>995</v>
      </c>
      <c r="AF70" s="8">
        <f t="shared" si="3"/>
        <v>0</v>
      </c>
    </row>
    <row r="71" spans="1:32" ht="30.2" customHeight="1" x14ac:dyDescent="0.25">
      <c r="A71" s="22">
        <v>67</v>
      </c>
      <c r="B71" s="42"/>
      <c r="C71" s="103" t="s">
        <v>228</v>
      </c>
      <c r="D71" s="96" t="s">
        <v>109</v>
      </c>
      <c r="E71" s="56">
        <v>0</v>
      </c>
      <c r="F71" s="54">
        <v>0</v>
      </c>
      <c r="G71" s="58">
        <v>466</v>
      </c>
      <c r="H71" s="72"/>
      <c r="I71" s="73"/>
      <c r="J71" s="73"/>
      <c r="K71" s="73"/>
      <c r="L71" s="73"/>
      <c r="M71" s="73"/>
      <c r="N71" s="73"/>
      <c r="O71" s="73"/>
      <c r="P71" s="73"/>
      <c r="Q71" s="70"/>
      <c r="R71" s="71"/>
      <c r="S71" s="71"/>
      <c r="T71" s="71"/>
      <c r="U71" s="71"/>
      <c r="V71" s="71"/>
      <c r="W71" s="71"/>
      <c r="X71" s="71"/>
      <c r="Y71" s="71"/>
      <c r="Z71" s="18">
        <f t="shared" si="9"/>
        <v>466</v>
      </c>
      <c r="AA71" s="10">
        <f t="shared" ref="AA71:AA107" si="10">F71+Z71</f>
        <v>466</v>
      </c>
      <c r="AB71" s="25">
        <v>466</v>
      </c>
      <c r="AC71" s="19">
        <f t="shared" ref="AC71:AC107" si="11">AA71-AB71</f>
        <v>0</v>
      </c>
      <c r="AE71" s="9">
        <v>466</v>
      </c>
      <c r="AF71" s="8">
        <f t="shared" ref="AF71:AF137" si="12">AE71-AA71</f>
        <v>0</v>
      </c>
    </row>
    <row r="72" spans="1:32" ht="30.2" customHeight="1" x14ac:dyDescent="0.25">
      <c r="A72" s="22">
        <v>68</v>
      </c>
      <c r="B72" s="42"/>
      <c r="C72" s="103" t="s">
        <v>229</v>
      </c>
      <c r="D72" s="96" t="s">
        <v>169</v>
      </c>
      <c r="E72" s="56">
        <v>0</v>
      </c>
      <c r="F72" s="54">
        <v>0</v>
      </c>
      <c r="G72" s="58">
        <v>1925</v>
      </c>
      <c r="H72" s="72"/>
      <c r="I72" s="73"/>
      <c r="J72" s="73"/>
      <c r="K72" s="73"/>
      <c r="L72" s="73"/>
      <c r="M72" s="73"/>
      <c r="N72" s="73"/>
      <c r="O72" s="73"/>
      <c r="P72" s="73"/>
      <c r="Q72" s="70"/>
      <c r="R72" s="71"/>
      <c r="S72" s="71"/>
      <c r="T72" s="71"/>
      <c r="U72" s="71"/>
      <c r="V72" s="71"/>
      <c r="W72" s="71"/>
      <c r="X72" s="71"/>
      <c r="Y72" s="71"/>
      <c r="Z72" s="18">
        <f t="shared" si="9"/>
        <v>1925</v>
      </c>
      <c r="AA72" s="10">
        <f t="shared" si="10"/>
        <v>1925</v>
      </c>
      <c r="AB72" s="25">
        <v>1928</v>
      </c>
      <c r="AC72" s="19">
        <f t="shared" si="11"/>
        <v>-3</v>
      </c>
      <c r="AE72" s="9">
        <v>1925</v>
      </c>
      <c r="AF72" s="8">
        <f t="shared" si="12"/>
        <v>0</v>
      </c>
    </row>
    <row r="73" spans="1:32" ht="30.2" customHeight="1" x14ac:dyDescent="0.25">
      <c r="A73" s="22">
        <v>69</v>
      </c>
      <c r="B73" s="42"/>
      <c r="C73" s="103" t="s">
        <v>230</v>
      </c>
      <c r="D73" s="96" t="s">
        <v>110</v>
      </c>
      <c r="E73" s="56">
        <v>0</v>
      </c>
      <c r="F73" s="54">
        <v>0</v>
      </c>
      <c r="G73" s="58">
        <v>1614</v>
      </c>
      <c r="H73" s="72"/>
      <c r="I73" s="73"/>
      <c r="J73" s="73"/>
      <c r="K73" s="73"/>
      <c r="L73" s="73"/>
      <c r="M73" s="73"/>
      <c r="N73" s="73"/>
      <c r="O73" s="73"/>
      <c r="P73" s="73"/>
      <c r="Q73" s="70"/>
      <c r="R73" s="71"/>
      <c r="S73" s="71"/>
      <c r="T73" s="71"/>
      <c r="U73" s="71"/>
      <c r="V73" s="71"/>
      <c r="W73" s="71"/>
      <c r="X73" s="71"/>
      <c r="Y73" s="71"/>
      <c r="Z73" s="18">
        <f t="shared" si="9"/>
        <v>1614</v>
      </c>
      <c r="AA73" s="10">
        <f t="shared" si="10"/>
        <v>1614</v>
      </c>
      <c r="AB73" s="25">
        <v>1614</v>
      </c>
      <c r="AC73" s="19">
        <f t="shared" si="11"/>
        <v>0</v>
      </c>
      <c r="AE73" s="9">
        <v>1614</v>
      </c>
      <c r="AF73" s="8">
        <f t="shared" si="12"/>
        <v>0</v>
      </c>
    </row>
    <row r="74" spans="1:32" ht="30.2" customHeight="1" x14ac:dyDescent="0.25">
      <c r="A74" s="22">
        <v>70</v>
      </c>
      <c r="B74" s="42"/>
      <c r="C74" s="103" t="s">
        <v>231</v>
      </c>
      <c r="D74" s="96" t="s">
        <v>170</v>
      </c>
      <c r="E74" s="56">
        <v>454</v>
      </c>
      <c r="F74" s="54">
        <v>454</v>
      </c>
      <c r="G74" s="58">
        <v>234</v>
      </c>
      <c r="H74" s="72"/>
      <c r="I74" s="73"/>
      <c r="J74" s="73"/>
      <c r="K74" s="73"/>
      <c r="L74" s="73"/>
      <c r="M74" s="73"/>
      <c r="N74" s="73"/>
      <c r="O74" s="73"/>
      <c r="P74" s="73"/>
      <c r="Q74" s="70"/>
      <c r="R74" s="71"/>
      <c r="S74" s="71"/>
      <c r="T74" s="71"/>
      <c r="U74" s="71"/>
      <c r="V74" s="71"/>
      <c r="W74" s="71"/>
      <c r="X74" s="71"/>
      <c r="Y74" s="71"/>
      <c r="Z74" s="18">
        <f t="shared" si="9"/>
        <v>234</v>
      </c>
      <c r="AA74" s="10">
        <f t="shared" si="10"/>
        <v>688</v>
      </c>
      <c r="AB74" s="25">
        <v>689</v>
      </c>
      <c r="AC74" s="19">
        <f t="shared" si="11"/>
        <v>-1</v>
      </c>
      <c r="AE74" s="135">
        <v>689</v>
      </c>
      <c r="AF74" s="136">
        <f t="shared" si="12"/>
        <v>1</v>
      </c>
    </row>
    <row r="75" spans="1:32" ht="30.2" customHeight="1" x14ac:dyDescent="0.25">
      <c r="A75" s="22">
        <v>71</v>
      </c>
      <c r="B75" s="42"/>
      <c r="C75" s="103" t="s">
        <v>232</v>
      </c>
      <c r="D75" s="96" t="s">
        <v>111</v>
      </c>
      <c r="E75" s="56">
        <v>2500</v>
      </c>
      <c r="F75" s="54">
        <v>2500</v>
      </c>
      <c r="G75" s="58">
        <v>742</v>
      </c>
      <c r="H75" s="72"/>
      <c r="I75" s="73"/>
      <c r="J75" s="73"/>
      <c r="K75" s="73"/>
      <c r="L75" s="73"/>
      <c r="M75" s="73"/>
      <c r="N75" s="73"/>
      <c r="O75" s="73"/>
      <c r="P75" s="73"/>
      <c r="Q75" s="70"/>
      <c r="R75" s="71"/>
      <c r="S75" s="71"/>
      <c r="T75" s="71"/>
      <c r="U75" s="71"/>
      <c r="V75" s="71"/>
      <c r="W75" s="71"/>
      <c r="X75" s="71"/>
      <c r="Y75" s="71"/>
      <c r="Z75" s="18">
        <f t="shared" si="9"/>
        <v>742</v>
      </c>
      <c r="AA75" s="10">
        <f t="shared" si="10"/>
        <v>3242</v>
      </c>
      <c r="AB75" s="25">
        <v>3250</v>
      </c>
      <c r="AC75" s="19">
        <f t="shared" si="11"/>
        <v>-8</v>
      </c>
      <c r="AE75" s="9">
        <v>3242</v>
      </c>
      <c r="AF75" s="8">
        <f t="shared" si="12"/>
        <v>0</v>
      </c>
    </row>
    <row r="76" spans="1:32" ht="30.2" customHeight="1" x14ac:dyDescent="0.25">
      <c r="A76" s="22">
        <v>72</v>
      </c>
      <c r="B76" s="42"/>
      <c r="C76" s="128" t="s">
        <v>288</v>
      </c>
      <c r="D76" s="96" t="s">
        <v>296</v>
      </c>
      <c r="E76" s="56" t="s">
        <v>316</v>
      </c>
      <c r="F76" s="54">
        <v>40</v>
      </c>
      <c r="G76" s="58"/>
      <c r="H76" s="72"/>
      <c r="I76" s="73"/>
      <c r="J76" s="73"/>
      <c r="K76" s="73"/>
      <c r="L76" s="73"/>
      <c r="M76" s="73"/>
      <c r="N76" s="73"/>
      <c r="O76" s="73"/>
      <c r="P76" s="73"/>
      <c r="Q76" s="70"/>
      <c r="R76" s="71"/>
      <c r="S76" s="71"/>
      <c r="T76" s="71"/>
      <c r="U76" s="71"/>
      <c r="V76" s="71"/>
      <c r="W76" s="71"/>
      <c r="X76" s="71"/>
      <c r="Y76" s="71"/>
      <c r="Z76" s="18">
        <f t="shared" si="9"/>
        <v>0</v>
      </c>
      <c r="AA76" s="10">
        <f t="shared" ref="AA76" si="13">F76+Z76</f>
        <v>40</v>
      </c>
      <c r="AB76" s="25">
        <v>40</v>
      </c>
      <c r="AC76" s="19">
        <f t="shared" ref="AC76" si="14">AA76-AB76</f>
        <v>0</v>
      </c>
      <c r="AE76" s="9">
        <v>40</v>
      </c>
      <c r="AF76" s="8">
        <f t="shared" si="12"/>
        <v>0</v>
      </c>
    </row>
    <row r="77" spans="1:32" ht="30.2" customHeight="1" x14ac:dyDescent="0.25">
      <c r="A77" s="22">
        <v>73</v>
      </c>
      <c r="B77" s="42"/>
      <c r="C77" s="103" t="s">
        <v>233</v>
      </c>
      <c r="D77" s="96" t="s">
        <v>112</v>
      </c>
      <c r="E77" s="56" t="s">
        <v>317</v>
      </c>
      <c r="F77" s="54">
        <v>10000</v>
      </c>
      <c r="G77" s="58">
        <v>734</v>
      </c>
      <c r="H77" s="72"/>
      <c r="I77" s="73"/>
      <c r="J77" s="73"/>
      <c r="K77" s="73"/>
      <c r="L77" s="73"/>
      <c r="M77" s="73"/>
      <c r="N77" s="73"/>
      <c r="O77" s="73"/>
      <c r="P77" s="73"/>
      <c r="Q77" s="70"/>
      <c r="R77" s="71"/>
      <c r="S77" s="71"/>
      <c r="T77" s="71"/>
      <c r="U77" s="71"/>
      <c r="V77" s="71"/>
      <c r="W77" s="71"/>
      <c r="X77" s="71"/>
      <c r="Y77" s="71"/>
      <c r="Z77" s="18">
        <f t="shared" si="9"/>
        <v>734</v>
      </c>
      <c r="AA77" s="10">
        <f t="shared" si="10"/>
        <v>10734</v>
      </c>
      <c r="AB77" s="25">
        <v>10782</v>
      </c>
      <c r="AC77" s="19">
        <f t="shared" si="11"/>
        <v>-48</v>
      </c>
      <c r="AE77" s="9">
        <v>10734</v>
      </c>
      <c r="AF77" s="8">
        <f t="shared" si="12"/>
        <v>0</v>
      </c>
    </row>
    <row r="78" spans="1:32" ht="30.2" customHeight="1" x14ac:dyDescent="0.25">
      <c r="A78" s="22">
        <v>74</v>
      </c>
      <c r="B78" s="42"/>
      <c r="C78" s="102" t="s">
        <v>234</v>
      </c>
      <c r="D78" s="96" t="s">
        <v>113</v>
      </c>
      <c r="E78" s="56">
        <v>0</v>
      </c>
      <c r="F78" s="54">
        <v>0</v>
      </c>
      <c r="G78" s="58">
        <v>4387</v>
      </c>
      <c r="H78" s="72"/>
      <c r="I78" s="73"/>
      <c r="J78" s="73"/>
      <c r="K78" s="73"/>
      <c r="L78" s="73"/>
      <c r="M78" s="73"/>
      <c r="N78" s="73"/>
      <c r="O78" s="73"/>
      <c r="P78" s="73"/>
      <c r="Q78" s="70"/>
      <c r="R78" s="71"/>
      <c r="S78" s="71"/>
      <c r="T78" s="71"/>
      <c r="U78" s="71"/>
      <c r="V78" s="71"/>
      <c r="W78" s="71"/>
      <c r="X78" s="71"/>
      <c r="Y78" s="71"/>
      <c r="Z78" s="18">
        <f t="shared" si="9"/>
        <v>4387</v>
      </c>
      <c r="AA78" s="10">
        <f t="shared" si="10"/>
        <v>4387</v>
      </c>
      <c r="AB78" s="25">
        <v>4387</v>
      </c>
      <c r="AC78" s="19">
        <f t="shared" si="11"/>
        <v>0</v>
      </c>
      <c r="AE78" s="9">
        <v>4387</v>
      </c>
      <c r="AF78" s="8">
        <f t="shared" si="12"/>
        <v>0</v>
      </c>
    </row>
    <row r="79" spans="1:32" ht="30.2" customHeight="1" x14ac:dyDescent="0.25">
      <c r="A79" s="22">
        <v>75</v>
      </c>
      <c r="B79" s="42"/>
      <c r="C79" s="103" t="s">
        <v>235</v>
      </c>
      <c r="D79" s="96" t="s">
        <v>114</v>
      </c>
      <c r="E79" s="85" t="s">
        <v>303</v>
      </c>
      <c r="F79" s="54">
        <v>7200</v>
      </c>
      <c r="G79" s="58">
        <v>180</v>
      </c>
      <c r="H79" s="72"/>
      <c r="I79" s="73"/>
      <c r="J79" s="73"/>
      <c r="K79" s="73"/>
      <c r="L79" s="73"/>
      <c r="M79" s="73"/>
      <c r="N79" s="73"/>
      <c r="O79" s="73"/>
      <c r="P79" s="73"/>
      <c r="Q79" s="70"/>
      <c r="R79" s="71"/>
      <c r="S79" s="71"/>
      <c r="T79" s="71"/>
      <c r="U79" s="71"/>
      <c r="V79" s="71"/>
      <c r="W79" s="71"/>
      <c r="X79" s="71"/>
      <c r="Y79" s="71"/>
      <c r="Z79" s="18">
        <f t="shared" si="9"/>
        <v>180</v>
      </c>
      <c r="AA79" s="10">
        <f t="shared" si="10"/>
        <v>7380</v>
      </c>
      <c r="AB79" s="25">
        <v>7422</v>
      </c>
      <c r="AC79" s="19">
        <f t="shared" si="11"/>
        <v>-42</v>
      </c>
      <c r="AE79" s="9">
        <v>7380</v>
      </c>
      <c r="AF79" s="8">
        <f t="shared" si="12"/>
        <v>0</v>
      </c>
    </row>
    <row r="80" spans="1:32" ht="30.2" customHeight="1" x14ac:dyDescent="0.25">
      <c r="A80" s="22">
        <v>76</v>
      </c>
      <c r="B80" s="42"/>
      <c r="C80" s="103" t="s">
        <v>236</v>
      </c>
      <c r="D80" s="96" t="s">
        <v>115</v>
      </c>
      <c r="E80" s="52">
        <v>2500</v>
      </c>
      <c r="F80" s="54">
        <v>2500</v>
      </c>
      <c r="G80" s="58">
        <v>709</v>
      </c>
      <c r="H80" s="72"/>
      <c r="I80" s="73"/>
      <c r="J80" s="73"/>
      <c r="K80" s="73"/>
      <c r="L80" s="73"/>
      <c r="M80" s="73"/>
      <c r="N80" s="73"/>
      <c r="O80" s="73"/>
      <c r="P80" s="73"/>
      <c r="Q80" s="70"/>
      <c r="R80" s="71"/>
      <c r="S80" s="71"/>
      <c r="T80" s="71"/>
      <c r="U80" s="71"/>
      <c r="V80" s="71"/>
      <c r="W80" s="71"/>
      <c r="X80" s="71"/>
      <c r="Y80" s="71"/>
      <c r="Z80" s="18">
        <f t="shared" si="9"/>
        <v>709</v>
      </c>
      <c r="AA80" s="10">
        <f t="shared" si="10"/>
        <v>3209</v>
      </c>
      <c r="AB80" s="25">
        <v>3209</v>
      </c>
      <c r="AC80" s="19">
        <f t="shared" si="11"/>
        <v>0</v>
      </c>
      <c r="AE80" s="9">
        <v>3209</v>
      </c>
      <c r="AF80" s="8">
        <f t="shared" si="12"/>
        <v>0</v>
      </c>
    </row>
    <row r="81" spans="1:32" ht="30.2" customHeight="1" x14ac:dyDescent="0.25">
      <c r="A81" s="22">
        <v>77</v>
      </c>
      <c r="B81" s="42"/>
      <c r="C81" s="103" t="s">
        <v>237</v>
      </c>
      <c r="D81" s="104" t="s">
        <v>39</v>
      </c>
      <c r="E81" s="56">
        <v>2500</v>
      </c>
      <c r="F81" s="54">
        <v>2500</v>
      </c>
      <c r="G81" s="58">
        <v>491</v>
      </c>
      <c r="H81" s="72"/>
      <c r="I81" s="73"/>
      <c r="J81" s="73"/>
      <c r="K81" s="73"/>
      <c r="L81" s="73"/>
      <c r="M81" s="73"/>
      <c r="N81" s="73"/>
      <c r="O81" s="73"/>
      <c r="P81" s="73"/>
      <c r="Q81" s="70"/>
      <c r="R81" s="71"/>
      <c r="S81" s="71"/>
      <c r="T81" s="71"/>
      <c r="U81" s="71"/>
      <c r="V81" s="71"/>
      <c r="W81" s="71"/>
      <c r="X81" s="71"/>
      <c r="Y81" s="71"/>
      <c r="Z81" s="18">
        <f t="shared" si="9"/>
        <v>491</v>
      </c>
      <c r="AA81" s="10">
        <f t="shared" si="10"/>
        <v>2991</v>
      </c>
      <c r="AB81" s="25">
        <v>2995</v>
      </c>
      <c r="AC81" s="19">
        <f t="shared" si="11"/>
        <v>-4</v>
      </c>
      <c r="AE81" s="9">
        <v>2991</v>
      </c>
      <c r="AF81" s="8">
        <f t="shared" si="12"/>
        <v>0</v>
      </c>
    </row>
    <row r="82" spans="1:32" ht="30.2" customHeight="1" x14ac:dyDescent="0.25">
      <c r="A82" s="22">
        <v>78</v>
      </c>
      <c r="B82" s="42"/>
      <c r="C82" s="103" t="s">
        <v>238</v>
      </c>
      <c r="D82" s="104" t="s">
        <v>116</v>
      </c>
      <c r="E82" s="56">
        <v>2500</v>
      </c>
      <c r="F82" s="54">
        <v>2500</v>
      </c>
      <c r="G82" s="58">
        <v>1023</v>
      </c>
      <c r="H82" s="72"/>
      <c r="I82" s="73"/>
      <c r="J82" s="73"/>
      <c r="K82" s="73"/>
      <c r="L82" s="73"/>
      <c r="M82" s="73"/>
      <c r="N82" s="73"/>
      <c r="O82" s="73"/>
      <c r="P82" s="73"/>
      <c r="Q82" s="70"/>
      <c r="R82" s="71"/>
      <c r="S82" s="71"/>
      <c r="T82" s="71"/>
      <c r="U82" s="71"/>
      <c r="V82" s="71"/>
      <c r="W82" s="71"/>
      <c r="X82" s="71"/>
      <c r="Y82" s="71"/>
      <c r="Z82" s="18">
        <f t="shared" si="9"/>
        <v>1023</v>
      </c>
      <c r="AA82" s="10">
        <f t="shared" si="10"/>
        <v>3523</v>
      </c>
      <c r="AB82" s="25">
        <v>3529</v>
      </c>
      <c r="AC82" s="19">
        <f t="shared" si="11"/>
        <v>-6</v>
      </c>
      <c r="AE82" s="9">
        <v>3523</v>
      </c>
      <c r="AF82" s="8">
        <f t="shared" si="12"/>
        <v>0</v>
      </c>
    </row>
    <row r="83" spans="1:32" ht="30.2" customHeight="1" x14ac:dyDescent="0.25">
      <c r="A83" s="22">
        <v>79</v>
      </c>
      <c r="B83" s="42"/>
      <c r="C83" s="103" t="s">
        <v>239</v>
      </c>
      <c r="D83" s="104" t="s">
        <v>40</v>
      </c>
      <c r="E83" s="85" t="s">
        <v>318</v>
      </c>
      <c r="F83" s="54">
        <v>2000</v>
      </c>
      <c r="G83" s="58">
        <v>411</v>
      </c>
      <c r="H83" s="72"/>
      <c r="I83" s="73"/>
      <c r="J83" s="73"/>
      <c r="K83" s="73"/>
      <c r="L83" s="73"/>
      <c r="M83" s="73"/>
      <c r="N83" s="73"/>
      <c r="O83" s="73"/>
      <c r="P83" s="73"/>
      <c r="Q83" s="70"/>
      <c r="R83" s="71"/>
      <c r="S83" s="71"/>
      <c r="T83" s="71"/>
      <c r="U83" s="71"/>
      <c r="V83" s="71"/>
      <c r="W83" s="71"/>
      <c r="X83" s="71"/>
      <c r="Y83" s="71"/>
      <c r="Z83" s="18">
        <f t="shared" si="9"/>
        <v>411</v>
      </c>
      <c r="AA83" s="10">
        <f t="shared" si="10"/>
        <v>2411</v>
      </c>
      <c r="AB83" s="25">
        <v>2420</v>
      </c>
      <c r="AC83" s="19">
        <f t="shared" si="11"/>
        <v>-9</v>
      </c>
      <c r="AE83" s="9">
        <v>2411</v>
      </c>
      <c r="AF83" s="8">
        <f t="shared" si="12"/>
        <v>0</v>
      </c>
    </row>
    <row r="84" spans="1:32" ht="30.2" customHeight="1" x14ac:dyDescent="0.25">
      <c r="A84" s="22">
        <v>80</v>
      </c>
      <c r="B84" s="43"/>
      <c r="C84" s="103" t="s">
        <v>240</v>
      </c>
      <c r="D84" s="96" t="s">
        <v>117</v>
      </c>
      <c r="E84" s="56">
        <v>56</v>
      </c>
      <c r="F84" s="54">
        <v>56</v>
      </c>
      <c r="G84" s="58">
        <v>2360</v>
      </c>
      <c r="H84" s="72"/>
      <c r="I84" s="73"/>
      <c r="J84" s="73"/>
      <c r="K84" s="73"/>
      <c r="L84" s="73"/>
      <c r="M84" s="73"/>
      <c r="N84" s="73"/>
      <c r="O84" s="73"/>
      <c r="P84" s="73"/>
      <c r="Q84" s="70"/>
      <c r="R84" s="71"/>
      <c r="S84" s="71"/>
      <c r="T84" s="71"/>
      <c r="U84" s="71"/>
      <c r="V84" s="71"/>
      <c r="W84" s="71"/>
      <c r="X84" s="71"/>
      <c r="Y84" s="71"/>
      <c r="Z84" s="18">
        <f t="shared" si="9"/>
        <v>2360</v>
      </c>
      <c r="AA84" s="10">
        <f t="shared" si="10"/>
        <v>2416</v>
      </c>
      <c r="AB84" s="25">
        <v>2424</v>
      </c>
      <c r="AC84" s="19">
        <f t="shared" si="11"/>
        <v>-8</v>
      </c>
      <c r="AE84" s="9">
        <v>2416</v>
      </c>
      <c r="AF84" s="8">
        <f t="shared" si="12"/>
        <v>0</v>
      </c>
    </row>
    <row r="85" spans="1:32" ht="30.2" customHeight="1" x14ac:dyDescent="0.25">
      <c r="A85" s="22">
        <v>81</v>
      </c>
      <c r="B85" s="43"/>
      <c r="C85" s="103" t="s">
        <v>241</v>
      </c>
      <c r="D85" s="96" t="s">
        <v>118</v>
      </c>
      <c r="E85" s="52">
        <v>0</v>
      </c>
      <c r="F85" s="54">
        <v>0</v>
      </c>
      <c r="G85" s="58">
        <v>927</v>
      </c>
      <c r="H85" s="72"/>
      <c r="I85" s="73"/>
      <c r="J85" s="73"/>
      <c r="K85" s="73"/>
      <c r="L85" s="73"/>
      <c r="M85" s="73"/>
      <c r="N85" s="73"/>
      <c r="O85" s="73"/>
      <c r="P85" s="73"/>
      <c r="Q85" s="70"/>
      <c r="R85" s="71"/>
      <c r="S85" s="71"/>
      <c r="T85" s="71"/>
      <c r="U85" s="71"/>
      <c r="V85" s="71"/>
      <c r="W85" s="71"/>
      <c r="X85" s="71"/>
      <c r="Y85" s="71"/>
      <c r="Z85" s="18">
        <f t="shared" si="9"/>
        <v>927</v>
      </c>
      <c r="AA85" s="10">
        <f t="shared" si="10"/>
        <v>927</v>
      </c>
      <c r="AB85" s="25">
        <v>930</v>
      </c>
      <c r="AC85" s="19">
        <f t="shared" si="11"/>
        <v>-3</v>
      </c>
      <c r="AE85" s="9">
        <v>927</v>
      </c>
      <c r="AF85" s="8">
        <f t="shared" si="12"/>
        <v>0</v>
      </c>
    </row>
    <row r="86" spans="1:32" ht="30.2" customHeight="1" x14ac:dyDescent="0.25">
      <c r="A86" s="22">
        <v>82</v>
      </c>
      <c r="B86" s="42"/>
      <c r="C86" s="103" t="s">
        <v>242</v>
      </c>
      <c r="D86" s="96" t="s">
        <v>119</v>
      </c>
      <c r="E86" s="85">
        <v>0</v>
      </c>
      <c r="F86" s="54">
        <v>0</v>
      </c>
      <c r="G86" s="58">
        <v>787</v>
      </c>
      <c r="H86" s="72"/>
      <c r="I86" s="73"/>
      <c r="J86" s="73"/>
      <c r="K86" s="73"/>
      <c r="L86" s="73"/>
      <c r="M86" s="73"/>
      <c r="N86" s="73"/>
      <c r="O86" s="73"/>
      <c r="P86" s="73"/>
      <c r="Q86" s="70"/>
      <c r="R86" s="75"/>
      <c r="S86" s="71"/>
      <c r="T86" s="71"/>
      <c r="U86" s="71"/>
      <c r="V86" s="71"/>
      <c r="W86" s="71"/>
      <c r="X86" s="71"/>
      <c r="Y86" s="71"/>
      <c r="Z86" s="18">
        <f t="shared" si="9"/>
        <v>787</v>
      </c>
      <c r="AA86" s="10">
        <f t="shared" si="10"/>
        <v>787</v>
      </c>
      <c r="AB86" s="25">
        <v>787</v>
      </c>
      <c r="AC86" s="19">
        <f t="shared" si="11"/>
        <v>0</v>
      </c>
      <c r="AE86" s="9">
        <v>787</v>
      </c>
      <c r="AF86" s="8">
        <f t="shared" si="12"/>
        <v>0</v>
      </c>
    </row>
    <row r="87" spans="1:32" ht="30.2" customHeight="1" x14ac:dyDescent="0.25">
      <c r="A87" s="22">
        <v>83</v>
      </c>
      <c r="B87" s="42"/>
      <c r="C87" s="103" t="s">
        <v>282</v>
      </c>
      <c r="D87" s="96" t="s">
        <v>283</v>
      </c>
      <c r="E87" s="85">
        <v>20</v>
      </c>
      <c r="F87" s="54">
        <v>20</v>
      </c>
      <c r="G87" s="58"/>
      <c r="H87" s="72"/>
      <c r="I87" s="73"/>
      <c r="J87" s="73"/>
      <c r="K87" s="73"/>
      <c r="L87" s="73"/>
      <c r="M87" s="73"/>
      <c r="N87" s="73"/>
      <c r="O87" s="73"/>
      <c r="P87" s="73"/>
      <c r="Q87" s="70"/>
      <c r="R87" s="75"/>
      <c r="S87" s="71"/>
      <c r="T87" s="71"/>
      <c r="U87" s="71"/>
      <c r="V87" s="71"/>
      <c r="W87" s="71"/>
      <c r="X87" s="71"/>
      <c r="Y87" s="71"/>
      <c r="Z87" s="18">
        <f t="shared" si="9"/>
        <v>0</v>
      </c>
      <c r="AA87" s="10">
        <f>F87+Z87</f>
        <v>20</v>
      </c>
      <c r="AB87" s="25">
        <v>20</v>
      </c>
      <c r="AC87" s="19">
        <f>AA87-AB87</f>
        <v>0</v>
      </c>
      <c r="AE87" s="9">
        <v>20</v>
      </c>
      <c r="AF87" s="8">
        <f t="shared" si="12"/>
        <v>0</v>
      </c>
    </row>
    <row r="88" spans="1:32" ht="30.2" customHeight="1" x14ac:dyDescent="0.25">
      <c r="A88" s="22">
        <v>84</v>
      </c>
      <c r="B88" s="42"/>
      <c r="C88" s="103" t="s">
        <v>284</v>
      </c>
      <c r="D88" s="103" t="s">
        <v>286</v>
      </c>
      <c r="E88" s="85" t="s">
        <v>319</v>
      </c>
      <c r="F88" s="54">
        <v>50</v>
      </c>
      <c r="G88" s="58"/>
      <c r="H88" s="72"/>
      <c r="I88" s="73"/>
      <c r="J88" s="73"/>
      <c r="K88" s="73"/>
      <c r="L88" s="73"/>
      <c r="M88" s="73"/>
      <c r="N88" s="73"/>
      <c r="O88" s="73"/>
      <c r="P88" s="73"/>
      <c r="Q88" s="70"/>
      <c r="R88" s="75"/>
      <c r="S88" s="71"/>
      <c r="T88" s="71"/>
      <c r="U88" s="71"/>
      <c r="V88" s="71"/>
      <c r="W88" s="71"/>
      <c r="X88" s="71"/>
      <c r="Y88" s="71"/>
      <c r="Z88" s="18">
        <f t="shared" si="9"/>
        <v>0</v>
      </c>
      <c r="AA88" s="10">
        <f t="shared" ref="AA88:AA89" si="15">F88+Z88</f>
        <v>50</v>
      </c>
      <c r="AB88" s="25">
        <v>50</v>
      </c>
      <c r="AC88" s="19">
        <f>AA88-AB88</f>
        <v>0</v>
      </c>
      <c r="AE88" s="9">
        <v>50</v>
      </c>
      <c r="AF88" s="8">
        <f t="shared" si="12"/>
        <v>0</v>
      </c>
    </row>
    <row r="89" spans="1:32" ht="30.2" customHeight="1" x14ac:dyDescent="0.25">
      <c r="A89" s="22">
        <v>85</v>
      </c>
      <c r="B89" s="42"/>
      <c r="C89" s="103" t="s">
        <v>285</v>
      </c>
      <c r="D89" s="103" t="s">
        <v>287</v>
      </c>
      <c r="E89" s="85" t="s">
        <v>320</v>
      </c>
      <c r="F89" s="54">
        <v>70</v>
      </c>
      <c r="G89" s="58"/>
      <c r="H89" s="72"/>
      <c r="I89" s="73"/>
      <c r="J89" s="73"/>
      <c r="K89" s="73"/>
      <c r="L89" s="73"/>
      <c r="M89" s="73"/>
      <c r="N89" s="73"/>
      <c r="O89" s="73"/>
      <c r="P89" s="73"/>
      <c r="Q89" s="70"/>
      <c r="R89" s="75"/>
      <c r="S89" s="71"/>
      <c r="T89" s="71"/>
      <c r="U89" s="71"/>
      <c r="V89" s="71"/>
      <c r="W89" s="71"/>
      <c r="X89" s="71"/>
      <c r="Y89" s="71"/>
      <c r="Z89" s="18">
        <f t="shared" si="9"/>
        <v>0</v>
      </c>
      <c r="AA89" s="10">
        <f t="shared" si="15"/>
        <v>70</v>
      </c>
      <c r="AB89" s="25">
        <v>70</v>
      </c>
      <c r="AC89" s="19">
        <f>AA89-AB89</f>
        <v>0</v>
      </c>
      <c r="AE89" s="9">
        <v>70</v>
      </c>
      <c r="AF89" s="8">
        <f t="shared" si="12"/>
        <v>0</v>
      </c>
    </row>
    <row r="90" spans="1:32" ht="30.2" customHeight="1" x14ac:dyDescent="0.25">
      <c r="A90" s="22">
        <v>86</v>
      </c>
      <c r="B90" s="42"/>
      <c r="C90" s="103" t="s">
        <v>243</v>
      </c>
      <c r="D90" s="96" t="s">
        <v>120</v>
      </c>
      <c r="E90" s="52">
        <v>5000</v>
      </c>
      <c r="F90" s="54">
        <v>5000</v>
      </c>
      <c r="G90" s="58">
        <v>757</v>
      </c>
      <c r="H90" s="72"/>
      <c r="I90" s="73"/>
      <c r="J90" s="73"/>
      <c r="K90" s="73"/>
      <c r="L90" s="73"/>
      <c r="M90" s="73"/>
      <c r="N90" s="73"/>
      <c r="O90" s="73"/>
      <c r="P90" s="73"/>
      <c r="Q90" s="70"/>
      <c r="R90" s="71"/>
      <c r="S90" s="71"/>
      <c r="T90" s="71"/>
      <c r="U90" s="71"/>
      <c r="V90" s="71"/>
      <c r="W90" s="71"/>
      <c r="X90" s="71"/>
      <c r="Y90" s="71"/>
      <c r="Z90" s="18">
        <f t="shared" si="9"/>
        <v>757</v>
      </c>
      <c r="AA90" s="10">
        <f t="shared" si="10"/>
        <v>5757</v>
      </c>
      <c r="AB90" s="25">
        <v>5757</v>
      </c>
      <c r="AC90" s="19">
        <f t="shared" si="11"/>
        <v>0</v>
      </c>
      <c r="AE90" s="9">
        <v>5757</v>
      </c>
      <c r="AF90" s="8">
        <f t="shared" si="12"/>
        <v>0</v>
      </c>
    </row>
    <row r="91" spans="1:32" ht="30.2" customHeight="1" x14ac:dyDescent="0.25">
      <c r="A91" s="22">
        <v>87</v>
      </c>
      <c r="B91" s="42"/>
      <c r="C91" s="128" t="s">
        <v>289</v>
      </c>
      <c r="D91" s="96" t="s">
        <v>295</v>
      </c>
      <c r="E91" s="52" t="s">
        <v>321</v>
      </c>
      <c r="F91" s="54">
        <v>70</v>
      </c>
      <c r="G91" s="58"/>
      <c r="H91" s="72"/>
      <c r="I91" s="73"/>
      <c r="J91" s="73"/>
      <c r="K91" s="73"/>
      <c r="L91" s="73"/>
      <c r="M91" s="73"/>
      <c r="N91" s="73"/>
      <c r="O91" s="73"/>
      <c r="P91" s="73"/>
      <c r="Q91" s="70"/>
      <c r="R91" s="71"/>
      <c r="S91" s="71"/>
      <c r="T91" s="71"/>
      <c r="U91" s="71"/>
      <c r="V91" s="71"/>
      <c r="W91" s="71"/>
      <c r="X91" s="71"/>
      <c r="Y91" s="71"/>
      <c r="Z91" s="18">
        <f t="shared" si="9"/>
        <v>0</v>
      </c>
      <c r="AA91" s="10">
        <f t="shared" ref="AA91" si="16">F91+Z91</f>
        <v>70</v>
      </c>
      <c r="AB91" s="25">
        <v>70</v>
      </c>
      <c r="AC91" s="19">
        <f t="shared" ref="AC91" si="17">AA91-AB91</f>
        <v>0</v>
      </c>
      <c r="AE91" s="9">
        <v>70</v>
      </c>
      <c r="AF91" s="8">
        <f t="shared" si="12"/>
        <v>0</v>
      </c>
    </row>
    <row r="92" spans="1:32" ht="30.2" customHeight="1" x14ac:dyDescent="0.25">
      <c r="A92" s="22">
        <v>88</v>
      </c>
      <c r="B92" s="42"/>
      <c r="C92" s="103" t="s">
        <v>244</v>
      </c>
      <c r="D92" s="96" t="s">
        <v>121</v>
      </c>
      <c r="E92" s="56" t="s">
        <v>298</v>
      </c>
      <c r="F92" s="54">
        <v>20000</v>
      </c>
      <c r="G92" s="58">
        <v>291</v>
      </c>
      <c r="H92" s="72"/>
      <c r="I92" s="73"/>
      <c r="J92" s="73"/>
      <c r="K92" s="73"/>
      <c r="L92" s="73"/>
      <c r="M92" s="73"/>
      <c r="N92" s="73"/>
      <c r="O92" s="73"/>
      <c r="P92" s="73"/>
      <c r="Q92" s="70"/>
      <c r="R92" s="71"/>
      <c r="S92" s="71"/>
      <c r="T92" s="71"/>
      <c r="U92" s="71"/>
      <c r="V92" s="71"/>
      <c r="W92" s="71"/>
      <c r="X92" s="71"/>
      <c r="Y92" s="71"/>
      <c r="Z92" s="18">
        <f t="shared" si="9"/>
        <v>291</v>
      </c>
      <c r="AA92" s="10">
        <f t="shared" si="10"/>
        <v>20291</v>
      </c>
      <c r="AB92" s="25">
        <v>20354</v>
      </c>
      <c r="AC92" s="19">
        <f t="shared" si="11"/>
        <v>-63</v>
      </c>
      <c r="AE92" s="9">
        <v>20291</v>
      </c>
      <c r="AF92" s="8">
        <f t="shared" si="12"/>
        <v>0</v>
      </c>
    </row>
    <row r="93" spans="1:32" ht="30.2" customHeight="1" x14ac:dyDescent="0.25">
      <c r="A93" s="22">
        <v>89</v>
      </c>
      <c r="B93" s="4"/>
      <c r="C93" s="103" t="s">
        <v>245</v>
      </c>
      <c r="D93" s="96" t="s">
        <v>122</v>
      </c>
      <c r="E93" s="56">
        <v>0</v>
      </c>
      <c r="F93" s="54">
        <v>0</v>
      </c>
      <c r="G93" s="58">
        <v>2841</v>
      </c>
      <c r="H93" s="72"/>
      <c r="I93" s="73"/>
      <c r="J93" s="73"/>
      <c r="K93" s="73"/>
      <c r="L93" s="73"/>
      <c r="M93" s="73"/>
      <c r="N93" s="73"/>
      <c r="O93" s="73"/>
      <c r="P93" s="73"/>
      <c r="Q93" s="70"/>
      <c r="R93" s="71"/>
      <c r="S93" s="71"/>
      <c r="T93" s="71"/>
      <c r="U93" s="71"/>
      <c r="V93" s="71"/>
      <c r="W93" s="71"/>
      <c r="X93" s="71"/>
      <c r="Y93" s="71"/>
      <c r="Z93" s="18">
        <f t="shared" si="9"/>
        <v>2841</v>
      </c>
      <c r="AA93" s="10">
        <f t="shared" si="10"/>
        <v>2841</v>
      </c>
      <c r="AB93" s="25">
        <v>2844</v>
      </c>
      <c r="AC93" s="19">
        <f t="shared" si="11"/>
        <v>-3</v>
      </c>
      <c r="AE93" s="9">
        <v>2841</v>
      </c>
      <c r="AF93" s="8">
        <f t="shared" si="12"/>
        <v>0</v>
      </c>
    </row>
    <row r="94" spans="1:32" ht="30.2" customHeight="1" x14ac:dyDescent="0.25">
      <c r="A94" s="22">
        <v>90</v>
      </c>
      <c r="B94" s="4"/>
      <c r="C94" s="103" t="s">
        <v>246</v>
      </c>
      <c r="D94" s="96" t="s">
        <v>123</v>
      </c>
      <c r="E94" s="56">
        <v>1000</v>
      </c>
      <c r="F94" s="54">
        <v>1000</v>
      </c>
      <c r="G94" s="58">
        <v>581</v>
      </c>
      <c r="H94" s="72"/>
      <c r="I94" s="73"/>
      <c r="J94" s="73"/>
      <c r="K94" s="73"/>
      <c r="L94" s="73"/>
      <c r="M94" s="73"/>
      <c r="N94" s="73"/>
      <c r="O94" s="73"/>
      <c r="P94" s="73"/>
      <c r="Q94" s="70"/>
      <c r="R94" s="71"/>
      <c r="S94" s="71"/>
      <c r="T94" s="71"/>
      <c r="U94" s="71"/>
      <c r="V94" s="71"/>
      <c r="W94" s="71"/>
      <c r="X94" s="71"/>
      <c r="Y94" s="71"/>
      <c r="Z94" s="18">
        <f t="shared" si="9"/>
        <v>581</v>
      </c>
      <c r="AA94" s="10">
        <f t="shared" si="10"/>
        <v>1581</v>
      </c>
      <c r="AB94" s="25">
        <v>1581</v>
      </c>
      <c r="AC94" s="19">
        <f t="shared" si="11"/>
        <v>0</v>
      </c>
      <c r="AE94" s="9">
        <v>1581</v>
      </c>
      <c r="AF94" s="8">
        <f t="shared" si="12"/>
        <v>0</v>
      </c>
    </row>
    <row r="95" spans="1:32" ht="30.2" customHeight="1" x14ac:dyDescent="0.25">
      <c r="A95" s="22">
        <v>91</v>
      </c>
      <c r="B95" s="4"/>
      <c r="C95" s="103" t="s">
        <v>247</v>
      </c>
      <c r="D95" s="96" t="s">
        <v>124</v>
      </c>
      <c r="E95" s="56">
        <v>0</v>
      </c>
      <c r="F95" s="54">
        <v>0</v>
      </c>
      <c r="G95" s="58">
        <v>1392</v>
      </c>
      <c r="H95" s="72"/>
      <c r="I95" s="73"/>
      <c r="J95" s="73"/>
      <c r="K95" s="73"/>
      <c r="L95" s="73"/>
      <c r="M95" s="73"/>
      <c r="N95" s="73"/>
      <c r="O95" s="73"/>
      <c r="P95" s="73"/>
      <c r="Q95" s="70"/>
      <c r="R95" s="71"/>
      <c r="S95" s="71"/>
      <c r="T95" s="71"/>
      <c r="U95" s="71"/>
      <c r="V95" s="71"/>
      <c r="W95" s="71"/>
      <c r="X95" s="71"/>
      <c r="Y95" s="71"/>
      <c r="Z95" s="18">
        <f t="shared" si="9"/>
        <v>1392</v>
      </c>
      <c r="AA95" s="10">
        <f t="shared" si="10"/>
        <v>1392</v>
      </c>
      <c r="AB95" s="25">
        <v>1392</v>
      </c>
      <c r="AC95" s="19">
        <f t="shared" si="11"/>
        <v>0</v>
      </c>
      <c r="AE95" s="9">
        <v>1392</v>
      </c>
      <c r="AF95" s="8">
        <f t="shared" si="12"/>
        <v>0</v>
      </c>
    </row>
    <row r="96" spans="1:32" ht="30.2" customHeight="1" x14ac:dyDescent="0.25">
      <c r="A96" s="22">
        <v>92</v>
      </c>
      <c r="B96" s="23"/>
      <c r="C96" s="102" t="s">
        <v>248</v>
      </c>
      <c r="D96" s="96" t="s">
        <v>8</v>
      </c>
      <c r="E96" s="56">
        <v>1000</v>
      </c>
      <c r="F96" s="54">
        <v>1000</v>
      </c>
      <c r="G96" s="58">
        <v>365</v>
      </c>
      <c r="H96" s="76"/>
      <c r="I96" s="77"/>
      <c r="J96" s="77"/>
      <c r="K96" s="77"/>
      <c r="L96" s="77"/>
      <c r="M96" s="77"/>
      <c r="N96" s="77"/>
      <c r="O96" s="77"/>
      <c r="P96" s="77"/>
      <c r="Q96" s="70"/>
      <c r="R96" s="71"/>
      <c r="S96" s="71"/>
      <c r="T96" s="71"/>
      <c r="U96" s="71"/>
      <c r="V96" s="71"/>
      <c r="W96" s="71"/>
      <c r="X96" s="71"/>
      <c r="Y96" s="71"/>
      <c r="Z96" s="18">
        <f t="shared" si="9"/>
        <v>365</v>
      </c>
      <c r="AA96" s="10">
        <f t="shared" si="10"/>
        <v>1365</v>
      </c>
      <c r="AB96" s="25">
        <v>1365</v>
      </c>
      <c r="AC96" s="19">
        <f t="shared" si="11"/>
        <v>0</v>
      </c>
      <c r="AE96" s="9">
        <v>1365</v>
      </c>
      <c r="AF96" s="8">
        <f t="shared" si="12"/>
        <v>0</v>
      </c>
    </row>
    <row r="97" spans="1:33" ht="30.2" customHeight="1" x14ac:dyDescent="0.25">
      <c r="A97" s="22">
        <v>93</v>
      </c>
      <c r="B97" s="23"/>
      <c r="C97" s="102" t="s">
        <v>249</v>
      </c>
      <c r="D97" s="96" t="s">
        <v>125</v>
      </c>
      <c r="E97" s="56">
        <v>0</v>
      </c>
      <c r="F97" s="54">
        <v>0</v>
      </c>
      <c r="G97" s="58">
        <v>1318</v>
      </c>
      <c r="H97" s="72"/>
      <c r="I97" s="73"/>
      <c r="J97" s="73"/>
      <c r="K97" s="73"/>
      <c r="L97" s="73"/>
      <c r="M97" s="73"/>
      <c r="N97" s="73"/>
      <c r="O97" s="73"/>
      <c r="P97" s="73"/>
      <c r="Q97" s="70"/>
      <c r="R97" s="71"/>
      <c r="S97" s="71"/>
      <c r="T97" s="71"/>
      <c r="U97" s="71"/>
      <c r="V97" s="71"/>
      <c r="W97" s="71"/>
      <c r="X97" s="71"/>
      <c r="Y97" s="71"/>
      <c r="Z97" s="18">
        <f t="shared" si="9"/>
        <v>1318</v>
      </c>
      <c r="AA97" s="10">
        <f t="shared" si="10"/>
        <v>1318</v>
      </c>
      <c r="AB97" s="25">
        <v>1318</v>
      </c>
      <c r="AC97" s="19">
        <f t="shared" si="11"/>
        <v>0</v>
      </c>
      <c r="AE97" s="9">
        <v>1318</v>
      </c>
      <c r="AF97" s="8">
        <f t="shared" si="12"/>
        <v>0</v>
      </c>
    </row>
    <row r="98" spans="1:33" ht="30.2" customHeight="1" x14ac:dyDescent="0.25">
      <c r="A98" s="22">
        <v>94</v>
      </c>
      <c r="B98" s="23"/>
      <c r="C98" s="103" t="s">
        <v>250</v>
      </c>
      <c r="D98" s="96" t="s">
        <v>126</v>
      </c>
      <c r="E98" s="52">
        <v>0</v>
      </c>
      <c r="F98" s="54">
        <v>0</v>
      </c>
      <c r="G98" s="58">
        <v>1051</v>
      </c>
      <c r="H98" s="76"/>
      <c r="I98" s="77"/>
      <c r="J98" s="77"/>
      <c r="K98" s="77"/>
      <c r="L98" s="77"/>
      <c r="M98" s="77"/>
      <c r="N98" s="77"/>
      <c r="O98" s="77"/>
      <c r="P98" s="77"/>
      <c r="Q98" s="74"/>
      <c r="R98" s="71"/>
      <c r="S98" s="71"/>
      <c r="T98" s="71"/>
      <c r="U98" s="71"/>
      <c r="V98" s="71"/>
      <c r="W98" s="71"/>
      <c r="X98" s="71"/>
      <c r="Y98" s="71"/>
      <c r="Z98" s="18">
        <f t="shared" si="9"/>
        <v>1051</v>
      </c>
      <c r="AA98" s="10">
        <f t="shared" si="10"/>
        <v>1051</v>
      </c>
      <c r="AB98" s="25">
        <v>1054</v>
      </c>
      <c r="AC98" s="19">
        <f t="shared" si="11"/>
        <v>-3</v>
      </c>
      <c r="AE98" s="9">
        <v>1051</v>
      </c>
      <c r="AF98" s="8">
        <f t="shared" si="12"/>
        <v>0</v>
      </c>
    </row>
    <row r="99" spans="1:33" ht="30.2" customHeight="1" x14ac:dyDescent="0.25">
      <c r="A99" s="22">
        <v>95</v>
      </c>
      <c r="B99" s="23"/>
      <c r="C99" s="108" t="s">
        <v>251</v>
      </c>
      <c r="D99" s="104" t="s">
        <v>127</v>
      </c>
      <c r="E99" s="56">
        <v>700</v>
      </c>
      <c r="F99" s="54">
        <v>700</v>
      </c>
      <c r="G99" s="58">
        <v>120</v>
      </c>
      <c r="H99" s="72"/>
      <c r="I99" s="73"/>
      <c r="J99" s="73"/>
      <c r="K99" s="73"/>
      <c r="L99" s="73"/>
      <c r="M99" s="73"/>
      <c r="N99" s="73"/>
      <c r="O99" s="73"/>
      <c r="P99" s="73"/>
      <c r="Q99" s="70"/>
      <c r="R99" s="71"/>
      <c r="S99" s="71"/>
      <c r="T99" s="71"/>
      <c r="U99" s="71"/>
      <c r="V99" s="71"/>
      <c r="W99" s="71"/>
      <c r="X99" s="71"/>
      <c r="Y99" s="71"/>
      <c r="Z99" s="18">
        <f t="shared" si="9"/>
        <v>120</v>
      </c>
      <c r="AA99" s="10">
        <f t="shared" si="10"/>
        <v>820</v>
      </c>
      <c r="AB99" s="25">
        <v>874</v>
      </c>
      <c r="AC99" s="19">
        <f t="shared" si="11"/>
        <v>-54</v>
      </c>
      <c r="AE99" s="9">
        <v>820</v>
      </c>
      <c r="AF99" s="8">
        <f t="shared" si="12"/>
        <v>0</v>
      </c>
    </row>
    <row r="100" spans="1:33" ht="30.2" customHeight="1" x14ac:dyDescent="0.25">
      <c r="A100" s="22">
        <v>96</v>
      </c>
      <c r="B100" s="23"/>
      <c r="C100" s="103" t="s">
        <v>252</v>
      </c>
      <c r="D100" s="96" t="s">
        <v>128</v>
      </c>
      <c r="E100" s="56">
        <v>0</v>
      </c>
      <c r="F100" s="54">
        <v>0</v>
      </c>
      <c r="G100" s="58">
        <v>4327</v>
      </c>
      <c r="H100" s="72"/>
      <c r="I100" s="73"/>
      <c r="J100" s="73"/>
      <c r="K100" s="73"/>
      <c r="L100" s="73"/>
      <c r="M100" s="73"/>
      <c r="N100" s="73"/>
      <c r="O100" s="73"/>
      <c r="P100" s="73"/>
      <c r="Q100" s="70"/>
      <c r="R100" s="71"/>
      <c r="S100" s="71"/>
      <c r="T100" s="71"/>
      <c r="U100" s="71"/>
      <c r="V100" s="71"/>
      <c r="W100" s="71"/>
      <c r="X100" s="71"/>
      <c r="Y100" s="71"/>
      <c r="Z100" s="18">
        <f t="shared" si="9"/>
        <v>4327</v>
      </c>
      <c r="AA100" s="10">
        <f t="shared" si="10"/>
        <v>4327</v>
      </c>
      <c r="AB100" s="25">
        <v>4349</v>
      </c>
      <c r="AC100" s="19">
        <f t="shared" si="11"/>
        <v>-22</v>
      </c>
      <c r="AE100" s="9">
        <v>4327</v>
      </c>
      <c r="AF100" s="8">
        <f t="shared" si="12"/>
        <v>0</v>
      </c>
    </row>
    <row r="101" spans="1:33" ht="30.2" customHeight="1" x14ac:dyDescent="0.25">
      <c r="A101" s="22">
        <v>97</v>
      </c>
      <c r="B101" s="23"/>
      <c r="C101" s="103" t="s">
        <v>253</v>
      </c>
      <c r="D101" s="96" t="s">
        <v>129</v>
      </c>
      <c r="E101" s="56" t="s">
        <v>305</v>
      </c>
      <c r="F101" s="54">
        <v>20000</v>
      </c>
      <c r="G101" s="58">
        <v>2195</v>
      </c>
      <c r="H101" s="76"/>
      <c r="I101" s="77"/>
      <c r="J101" s="77"/>
      <c r="K101" s="77"/>
      <c r="L101" s="77"/>
      <c r="M101" s="77"/>
      <c r="N101" s="77"/>
      <c r="O101" s="77"/>
      <c r="P101" s="77"/>
      <c r="Q101" s="70"/>
      <c r="R101" s="71"/>
      <c r="S101" s="71"/>
      <c r="T101" s="71"/>
      <c r="U101" s="71"/>
      <c r="V101" s="71"/>
      <c r="W101" s="71"/>
      <c r="X101" s="71"/>
      <c r="Y101" s="71"/>
      <c r="Z101" s="18">
        <f t="shared" si="9"/>
        <v>2195</v>
      </c>
      <c r="AA101" s="10">
        <f t="shared" si="10"/>
        <v>22195</v>
      </c>
      <c r="AB101" s="25">
        <v>22195</v>
      </c>
      <c r="AC101" s="19">
        <f t="shared" si="11"/>
        <v>0</v>
      </c>
      <c r="AE101" s="9">
        <v>22195</v>
      </c>
      <c r="AF101" s="8">
        <f t="shared" si="12"/>
        <v>0</v>
      </c>
    </row>
    <row r="102" spans="1:33" ht="30.2" customHeight="1" x14ac:dyDescent="0.25">
      <c r="A102" s="22">
        <v>98</v>
      </c>
      <c r="B102" s="23"/>
      <c r="C102" s="103" t="s">
        <v>254</v>
      </c>
      <c r="D102" s="96" t="s">
        <v>130</v>
      </c>
      <c r="E102" s="56" t="s">
        <v>322</v>
      </c>
      <c r="F102" s="54">
        <v>896</v>
      </c>
      <c r="G102" s="59">
        <v>36</v>
      </c>
      <c r="H102" s="72"/>
      <c r="I102" s="73"/>
      <c r="J102" s="73"/>
      <c r="K102" s="73"/>
      <c r="L102" s="73"/>
      <c r="M102" s="73"/>
      <c r="N102" s="73"/>
      <c r="O102" s="73"/>
      <c r="P102" s="73"/>
      <c r="Q102" s="70"/>
      <c r="R102" s="71"/>
      <c r="S102" s="71"/>
      <c r="T102" s="71"/>
      <c r="U102" s="71"/>
      <c r="V102" s="71"/>
      <c r="W102" s="71"/>
      <c r="X102" s="71"/>
      <c r="Y102" s="71"/>
      <c r="Z102" s="18">
        <f t="shared" si="9"/>
        <v>36</v>
      </c>
      <c r="AA102" s="10">
        <f t="shared" si="10"/>
        <v>932</v>
      </c>
      <c r="AB102" s="25">
        <v>935</v>
      </c>
      <c r="AC102" s="19">
        <f t="shared" si="11"/>
        <v>-3</v>
      </c>
      <c r="AE102" s="9">
        <v>932</v>
      </c>
      <c r="AF102" s="8">
        <f t="shared" si="12"/>
        <v>0</v>
      </c>
    </row>
    <row r="103" spans="1:33" ht="30.2" customHeight="1" x14ac:dyDescent="0.25">
      <c r="A103" s="22">
        <v>99</v>
      </c>
      <c r="B103" s="23"/>
      <c r="C103" s="103" t="s">
        <v>255</v>
      </c>
      <c r="D103" s="96" t="s">
        <v>131</v>
      </c>
      <c r="E103" s="56" t="s">
        <v>323</v>
      </c>
      <c r="F103" s="54">
        <v>12000</v>
      </c>
      <c r="G103" s="58">
        <v>1154</v>
      </c>
      <c r="H103" s="72"/>
      <c r="I103" s="73"/>
      <c r="J103" s="73"/>
      <c r="K103" s="73"/>
      <c r="L103" s="73"/>
      <c r="M103" s="73"/>
      <c r="N103" s="73"/>
      <c r="O103" s="73"/>
      <c r="P103" s="73"/>
      <c r="Q103" s="70"/>
      <c r="R103" s="71"/>
      <c r="S103" s="71"/>
      <c r="T103" s="71"/>
      <c r="U103" s="71"/>
      <c r="V103" s="71"/>
      <c r="W103" s="71"/>
      <c r="X103" s="71"/>
      <c r="Y103" s="71"/>
      <c r="Z103" s="18">
        <f t="shared" si="9"/>
        <v>1154</v>
      </c>
      <c r="AA103" s="10">
        <f t="shared" si="10"/>
        <v>13154</v>
      </c>
      <c r="AB103" s="25">
        <v>13170</v>
      </c>
      <c r="AC103" s="19">
        <f t="shared" si="11"/>
        <v>-16</v>
      </c>
      <c r="AE103" s="9">
        <v>13154</v>
      </c>
      <c r="AF103" s="8">
        <f t="shared" si="12"/>
        <v>0</v>
      </c>
    </row>
    <row r="104" spans="1:33" ht="30.2" customHeight="1" x14ac:dyDescent="0.25">
      <c r="A104" s="22">
        <v>100</v>
      </c>
      <c r="B104" s="23"/>
      <c r="C104" s="103" t="s">
        <v>256</v>
      </c>
      <c r="D104" s="96" t="s">
        <v>132</v>
      </c>
      <c r="E104" s="85" t="s">
        <v>324</v>
      </c>
      <c r="F104" s="54">
        <v>30000</v>
      </c>
      <c r="G104" s="58">
        <v>963</v>
      </c>
      <c r="H104" s="72"/>
      <c r="I104" s="73"/>
      <c r="J104" s="73"/>
      <c r="K104" s="73"/>
      <c r="L104" s="73"/>
      <c r="M104" s="73"/>
      <c r="N104" s="73"/>
      <c r="O104" s="73"/>
      <c r="P104" s="73"/>
      <c r="Q104" s="70"/>
      <c r="R104" s="71"/>
      <c r="S104" s="71"/>
      <c r="T104" s="71"/>
      <c r="U104" s="71"/>
      <c r="V104" s="71"/>
      <c r="W104" s="71"/>
      <c r="X104" s="71"/>
      <c r="Y104" s="71"/>
      <c r="Z104" s="18">
        <f t="shared" si="9"/>
        <v>963</v>
      </c>
      <c r="AA104" s="10">
        <f t="shared" si="10"/>
        <v>30963</v>
      </c>
      <c r="AB104" s="25">
        <v>31136</v>
      </c>
      <c r="AC104" s="19">
        <f t="shared" si="11"/>
        <v>-173</v>
      </c>
      <c r="AE104" s="9">
        <v>30963</v>
      </c>
      <c r="AF104" s="8">
        <f t="shared" si="12"/>
        <v>0</v>
      </c>
    </row>
    <row r="105" spans="1:33" ht="30.2" customHeight="1" x14ac:dyDescent="0.25">
      <c r="A105" s="22">
        <v>101</v>
      </c>
      <c r="B105" s="23"/>
      <c r="C105" s="103" t="s">
        <v>257</v>
      </c>
      <c r="D105" s="96" t="s">
        <v>133</v>
      </c>
      <c r="E105" s="56" t="s">
        <v>325</v>
      </c>
      <c r="F105" s="54">
        <v>42000</v>
      </c>
      <c r="G105" s="58">
        <v>1671</v>
      </c>
      <c r="H105" s="72"/>
      <c r="I105" s="73"/>
      <c r="J105" s="73"/>
      <c r="K105" s="73"/>
      <c r="L105" s="73"/>
      <c r="M105" s="73"/>
      <c r="N105" s="73"/>
      <c r="O105" s="73"/>
      <c r="P105" s="73"/>
      <c r="Q105" s="70"/>
      <c r="R105" s="71"/>
      <c r="S105" s="71"/>
      <c r="T105" s="71"/>
      <c r="U105" s="71"/>
      <c r="V105" s="71"/>
      <c r="W105" s="71"/>
      <c r="X105" s="71"/>
      <c r="Y105" s="71"/>
      <c r="Z105" s="18">
        <f t="shared" si="9"/>
        <v>1671</v>
      </c>
      <c r="AA105" s="10">
        <f t="shared" si="10"/>
        <v>43671</v>
      </c>
      <c r="AB105" s="25">
        <v>43850</v>
      </c>
      <c r="AC105" s="19">
        <f t="shared" si="11"/>
        <v>-179</v>
      </c>
      <c r="AE105" s="9">
        <v>43671</v>
      </c>
      <c r="AF105" s="8">
        <f t="shared" si="12"/>
        <v>0</v>
      </c>
    </row>
    <row r="106" spans="1:33" ht="30.2" customHeight="1" x14ac:dyDescent="0.25">
      <c r="A106" s="22">
        <v>102</v>
      </c>
      <c r="B106" s="23"/>
      <c r="C106" s="103" t="s">
        <v>258</v>
      </c>
      <c r="D106" s="96" t="s">
        <v>34</v>
      </c>
      <c r="E106" s="56">
        <v>0</v>
      </c>
      <c r="F106" s="54">
        <v>0</v>
      </c>
      <c r="G106" s="58">
        <v>4901</v>
      </c>
      <c r="H106" s="72"/>
      <c r="I106" s="73"/>
      <c r="J106" s="73"/>
      <c r="K106" s="73"/>
      <c r="L106" s="73"/>
      <c r="M106" s="73"/>
      <c r="N106" s="73"/>
      <c r="O106" s="73"/>
      <c r="P106" s="73"/>
      <c r="Q106" s="70"/>
      <c r="R106" s="71"/>
      <c r="S106" s="71"/>
      <c r="T106" s="71"/>
      <c r="U106" s="71"/>
      <c r="V106" s="71"/>
      <c r="W106" s="71"/>
      <c r="X106" s="71"/>
      <c r="Y106" s="71"/>
      <c r="Z106" s="18">
        <f t="shared" si="9"/>
        <v>4901</v>
      </c>
      <c r="AA106" s="10">
        <f t="shared" si="10"/>
        <v>4901</v>
      </c>
      <c r="AB106" s="25">
        <v>4941</v>
      </c>
      <c r="AC106" s="19">
        <f t="shared" si="11"/>
        <v>-40</v>
      </c>
      <c r="AE106" s="9">
        <v>4901</v>
      </c>
      <c r="AF106" s="8">
        <f t="shared" si="12"/>
        <v>0</v>
      </c>
    </row>
    <row r="107" spans="1:33" ht="30.2" customHeight="1" x14ac:dyDescent="0.25">
      <c r="A107" s="22">
        <v>103</v>
      </c>
      <c r="B107" s="23"/>
      <c r="C107" s="103" t="s">
        <v>259</v>
      </c>
      <c r="D107" s="96" t="s">
        <v>134</v>
      </c>
      <c r="E107" s="56" t="s">
        <v>304</v>
      </c>
      <c r="F107" s="54">
        <v>3000</v>
      </c>
      <c r="G107" s="58">
        <v>659</v>
      </c>
      <c r="H107" s="72"/>
      <c r="I107" s="73"/>
      <c r="J107" s="73"/>
      <c r="K107" s="73"/>
      <c r="L107" s="73"/>
      <c r="M107" s="73"/>
      <c r="N107" s="73"/>
      <c r="O107" s="73"/>
      <c r="P107" s="73"/>
      <c r="Q107" s="70"/>
      <c r="R107" s="71"/>
      <c r="S107" s="71"/>
      <c r="T107" s="71"/>
      <c r="U107" s="71"/>
      <c r="V107" s="71"/>
      <c r="W107" s="71"/>
      <c r="X107" s="71"/>
      <c r="Y107" s="71"/>
      <c r="Z107" s="18">
        <f t="shared" si="9"/>
        <v>659</v>
      </c>
      <c r="AA107" s="10">
        <f t="shared" si="10"/>
        <v>3659</v>
      </c>
      <c r="AB107" s="25">
        <v>3665</v>
      </c>
      <c r="AC107" s="19">
        <f t="shared" si="11"/>
        <v>-6</v>
      </c>
      <c r="AE107" s="9">
        <v>3659</v>
      </c>
      <c r="AF107" s="8">
        <f t="shared" si="12"/>
        <v>0</v>
      </c>
    </row>
    <row r="108" spans="1:33" ht="30.2" customHeight="1" x14ac:dyDescent="0.25">
      <c r="A108" s="22">
        <v>104</v>
      </c>
      <c r="B108" s="23"/>
      <c r="C108" s="103" t="s">
        <v>260</v>
      </c>
      <c r="D108" s="96" t="s">
        <v>32</v>
      </c>
      <c r="E108" s="56" t="s">
        <v>369</v>
      </c>
      <c r="F108" s="54">
        <v>2909</v>
      </c>
      <c r="G108" s="58">
        <v>196</v>
      </c>
      <c r="H108" s="72"/>
      <c r="I108" s="73"/>
      <c r="J108" s="73"/>
      <c r="K108" s="73"/>
      <c r="L108" s="73"/>
      <c r="M108" s="73"/>
      <c r="N108" s="73"/>
      <c r="O108" s="73"/>
      <c r="P108" s="73"/>
      <c r="Q108" s="70"/>
      <c r="R108" s="71"/>
      <c r="S108" s="71"/>
      <c r="T108" s="71"/>
      <c r="U108" s="71"/>
      <c r="V108" s="71"/>
      <c r="W108" s="71"/>
      <c r="X108" s="71"/>
      <c r="Y108" s="71"/>
      <c r="Z108" s="18">
        <f t="shared" si="9"/>
        <v>196</v>
      </c>
      <c r="AA108" s="10">
        <f t="shared" ref="AA108:AA144" si="18">F108+Z108</f>
        <v>3105</v>
      </c>
      <c r="AB108" s="25">
        <v>3116</v>
      </c>
      <c r="AC108" s="19">
        <f t="shared" ref="AC108:AC144" si="19">AA108-AB108</f>
        <v>-11</v>
      </c>
      <c r="AE108" s="9">
        <v>3105</v>
      </c>
      <c r="AF108" s="8">
        <f t="shared" si="12"/>
        <v>0</v>
      </c>
    </row>
    <row r="109" spans="1:33" ht="30.2" customHeight="1" x14ac:dyDescent="0.25">
      <c r="A109" s="22">
        <v>105</v>
      </c>
      <c r="B109" s="23"/>
      <c r="C109" s="103" t="s">
        <v>261</v>
      </c>
      <c r="D109" s="96" t="s">
        <v>135</v>
      </c>
      <c r="E109" s="52">
        <v>144</v>
      </c>
      <c r="F109" s="54">
        <v>144</v>
      </c>
      <c r="G109" s="58">
        <v>17</v>
      </c>
      <c r="H109" s="72"/>
      <c r="I109" s="73"/>
      <c r="J109" s="73"/>
      <c r="K109" s="73"/>
      <c r="L109" s="73"/>
      <c r="M109" s="73"/>
      <c r="N109" s="73"/>
      <c r="O109" s="73"/>
      <c r="P109" s="73"/>
      <c r="Q109" s="70"/>
      <c r="R109" s="71"/>
      <c r="S109" s="71"/>
      <c r="T109" s="71"/>
      <c r="U109" s="71"/>
      <c r="V109" s="71"/>
      <c r="W109" s="71"/>
      <c r="X109" s="71"/>
      <c r="Y109" s="71"/>
      <c r="Z109" s="18">
        <f t="shared" si="9"/>
        <v>17</v>
      </c>
      <c r="AA109" s="10">
        <f t="shared" si="18"/>
        <v>161</v>
      </c>
      <c r="AB109" s="25">
        <v>165</v>
      </c>
      <c r="AC109" s="19">
        <f t="shared" si="19"/>
        <v>-4</v>
      </c>
      <c r="AE109" s="9">
        <v>161</v>
      </c>
      <c r="AF109" s="8">
        <f t="shared" si="12"/>
        <v>0</v>
      </c>
    </row>
    <row r="110" spans="1:33" ht="30.2" customHeight="1" x14ac:dyDescent="0.25">
      <c r="A110" s="22">
        <v>106</v>
      </c>
      <c r="B110" s="23"/>
      <c r="C110" s="102" t="s">
        <v>262</v>
      </c>
      <c r="D110" s="96" t="s">
        <v>136</v>
      </c>
      <c r="E110" s="150" t="s">
        <v>371</v>
      </c>
      <c r="F110" s="149">
        <v>655</v>
      </c>
      <c r="G110" s="58">
        <v>8</v>
      </c>
      <c r="H110" s="72"/>
      <c r="I110" s="73"/>
      <c r="J110" s="73"/>
      <c r="K110" s="73"/>
      <c r="L110" s="73"/>
      <c r="M110" s="73"/>
      <c r="N110" s="73"/>
      <c r="O110" s="73"/>
      <c r="P110" s="73"/>
      <c r="Q110" s="70"/>
      <c r="R110" s="71"/>
      <c r="S110" s="71"/>
      <c r="T110" s="71"/>
      <c r="U110" s="71"/>
      <c r="V110" s="71"/>
      <c r="W110" s="71"/>
      <c r="X110" s="71"/>
      <c r="Y110" s="71"/>
      <c r="Z110" s="18">
        <f t="shared" si="9"/>
        <v>8</v>
      </c>
      <c r="AA110" s="10">
        <f t="shared" si="18"/>
        <v>663</v>
      </c>
      <c r="AB110" s="25">
        <v>668</v>
      </c>
      <c r="AC110" s="19">
        <f t="shared" si="19"/>
        <v>-5</v>
      </c>
      <c r="AE110" s="9">
        <v>663</v>
      </c>
      <c r="AF110" s="8">
        <f t="shared" si="12"/>
        <v>0</v>
      </c>
    </row>
    <row r="111" spans="1:33" ht="30.2" customHeight="1" x14ac:dyDescent="0.25">
      <c r="A111" s="22">
        <v>107</v>
      </c>
      <c r="B111" s="23"/>
      <c r="C111" s="102" t="s">
        <v>263</v>
      </c>
      <c r="D111" s="96" t="s">
        <v>137</v>
      </c>
      <c r="E111" s="52" t="s">
        <v>326</v>
      </c>
      <c r="F111" s="54">
        <v>18000</v>
      </c>
      <c r="G111" s="58"/>
      <c r="H111" s="72"/>
      <c r="I111" s="73"/>
      <c r="J111" s="73"/>
      <c r="K111" s="73"/>
      <c r="L111" s="73"/>
      <c r="M111" s="73"/>
      <c r="N111" s="73"/>
      <c r="O111" s="73"/>
      <c r="P111" s="73"/>
      <c r="Q111" s="70"/>
      <c r="R111" s="71"/>
      <c r="S111" s="71"/>
      <c r="T111" s="71"/>
      <c r="U111" s="71"/>
      <c r="V111" s="71"/>
      <c r="W111" s="71"/>
      <c r="X111" s="71"/>
      <c r="Y111" s="71"/>
      <c r="Z111" s="18">
        <f t="shared" si="9"/>
        <v>0</v>
      </c>
      <c r="AA111" s="10">
        <f t="shared" si="18"/>
        <v>18000</v>
      </c>
      <c r="AB111" s="25">
        <v>18000</v>
      </c>
      <c r="AC111" s="19">
        <f t="shared" si="19"/>
        <v>0</v>
      </c>
      <c r="AE111" s="9">
        <v>18000</v>
      </c>
      <c r="AF111" s="8">
        <f t="shared" si="12"/>
        <v>0</v>
      </c>
    </row>
    <row r="112" spans="1:33" ht="30.2" customHeight="1" x14ac:dyDescent="0.25">
      <c r="A112" s="22">
        <v>108</v>
      </c>
      <c r="B112" s="23"/>
      <c r="C112" s="100" t="s">
        <v>264</v>
      </c>
      <c r="D112" s="96" t="s">
        <v>138</v>
      </c>
      <c r="E112" s="52" t="s">
        <v>342</v>
      </c>
      <c r="F112" s="54">
        <v>240</v>
      </c>
      <c r="G112" s="59">
        <v>127</v>
      </c>
      <c r="H112" s="76"/>
      <c r="I112" s="77"/>
      <c r="J112" s="77"/>
      <c r="K112" s="77"/>
      <c r="L112" s="77"/>
      <c r="M112" s="77"/>
      <c r="N112" s="77"/>
      <c r="O112" s="77"/>
      <c r="P112" s="77"/>
      <c r="Q112" s="74"/>
      <c r="R112" s="71"/>
      <c r="S112" s="71"/>
      <c r="T112" s="71"/>
      <c r="U112" s="71"/>
      <c r="V112" s="71"/>
      <c r="W112" s="71"/>
      <c r="X112" s="71"/>
      <c r="Y112" s="71"/>
      <c r="Z112" s="18">
        <f t="shared" si="9"/>
        <v>127</v>
      </c>
      <c r="AA112" s="10">
        <f t="shared" si="18"/>
        <v>367</v>
      </c>
      <c r="AB112" s="25">
        <v>367</v>
      </c>
      <c r="AC112" s="19">
        <f t="shared" si="19"/>
        <v>0</v>
      </c>
      <c r="AE112" s="9">
        <v>367</v>
      </c>
      <c r="AF112" s="8">
        <f t="shared" si="12"/>
        <v>0</v>
      </c>
      <c r="AG112" s="84"/>
    </row>
    <row r="113" spans="1:33" ht="30.2" customHeight="1" x14ac:dyDescent="0.25">
      <c r="A113" s="22">
        <v>109</v>
      </c>
      <c r="B113" s="23"/>
      <c r="C113" s="102" t="s">
        <v>265</v>
      </c>
      <c r="D113" s="96" t="s">
        <v>139</v>
      </c>
      <c r="E113" s="52">
        <v>500</v>
      </c>
      <c r="F113" s="54">
        <v>500</v>
      </c>
      <c r="G113" s="59">
        <v>85</v>
      </c>
      <c r="H113" s="72"/>
      <c r="I113" s="73"/>
      <c r="J113" s="73"/>
      <c r="K113" s="73"/>
      <c r="L113" s="73"/>
      <c r="M113" s="73"/>
      <c r="N113" s="73"/>
      <c r="O113" s="73"/>
      <c r="P113" s="73"/>
      <c r="Q113" s="70"/>
      <c r="R113" s="71"/>
      <c r="S113" s="71"/>
      <c r="T113" s="71"/>
      <c r="U113" s="71"/>
      <c r="V113" s="71"/>
      <c r="W113" s="71"/>
      <c r="X113" s="71"/>
      <c r="Y113" s="71"/>
      <c r="Z113" s="18">
        <f t="shared" si="9"/>
        <v>85</v>
      </c>
      <c r="AA113" s="10">
        <f t="shared" si="18"/>
        <v>585</v>
      </c>
      <c r="AB113" s="25">
        <v>585</v>
      </c>
      <c r="AC113" s="19">
        <f t="shared" si="19"/>
        <v>0</v>
      </c>
      <c r="AE113" s="9">
        <v>585</v>
      </c>
      <c r="AF113" s="8">
        <f t="shared" si="12"/>
        <v>0</v>
      </c>
    </row>
    <row r="114" spans="1:33" ht="30.2" customHeight="1" x14ac:dyDescent="0.25">
      <c r="A114" s="22">
        <v>110</v>
      </c>
      <c r="B114" s="23"/>
      <c r="C114" s="102" t="s">
        <v>365</v>
      </c>
      <c r="D114" s="96" t="s">
        <v>366</v>
      </c>
      <c r="E114" s="52">
        <v>12</v>
      </c>
      <c r="F114" s="54">
        <v>12</v>
      </c>
      <c r="G114" s="59"/>
      <c r="H114" s="72"/>
      <c r="I114" s="73"/>
      <c r="J114" s="73"/>
      <c r="K114" s="73"/>
      <c r="L114" s="73"/>
      <c r="M114" s="73"/>
      <c r="N114" s="73"/>
      <c r="O114" s="73"/>
      <c r="P114" s="73"/>
      <c r="Q114" s="70"/>
      <c r="R114" s="71"/>
      <c r="S114" s="71"/>
      <c r="T114" s="71"/>
      <c r="U114" s="71"/>
      <c r="V114" s="71"/>
      <c r="W114" s="71"/>
      <c r="X114" s="71"/>
      <c r="Y114" s="71"/>
      <c r="Z114" s="18">
        <f t="shared" ref="Z114" si="20">G114+H114+I114+J114+K114+L114+M114+N114+O114+P114+Q114+R114+S114+T114+U114+V114+W114+X114+Y114</f>
        <v>0</v>
      </c>
      <c r="AA114" s="10">
        <f t="shared" ref="AA114" si="21">F114+Z114</f>
        <v>12</v>
      </c>
      <c r="AB114" s="25">
        <v>12</v>
      </c>
      <c r="AC114" s="19">
        <f t="shared" ref="AC114" si="22">AA114-AB114</f>
        <v>0</v>
      </c>
      <c r="AE114" s="9">
        <v>12</v>
      </c>
      <c r="AF114" s="8">
        <f t="shared" ref="AF114" si="23">AE114-AA114</f>
        <v>0</v>
      </c>
    </row>
    <row r="115" spans="1:33" ht="30.2" customHeight="1" x14ac:dyDescent="0.25">
      <c r="A115" s="22">
        <v>111</v>
      </c>
      <c r="B115" s="23"/>
      <c r="C115" s="109" t="s">
        <v>266</v>
      </c>
      <c r="D115" s="96" t="s">
        <v>171</v>
      </c>
      <c r="E115" s="52" t="s">
        <v>358</v>
      </c>
      <c r="F115" s="54">
        <v>12000</v>
      </c>
      <c r="G115" s="58">
        <v>1089</v>
      </c>
      <c r="H115" s="72"/>
      <c r="I115" s="73"/>
      <c r="J115" s="73"/>
      <c r="K115" s="73"/>
      <c r="L115" s="73"/>
      <c r="M115" s="73"/>
      <c r="N115" s="73"/>
      <c r="O115" s="73"/>
      <c r="P115" s="73"/>
      <c r="Q115" s="70"/>
      <c r="R115" s="71"/>
      <c r="S115" s="71"/>
      <c r="T115" s="71"/>
      <c r="U115" s="71"/>
      <c r="V115" s="71"/>
      <c r="W115" s="71"/>
      <c r="X115" s="71"/>
      <c r="Y115" s="71"/>
      <c r="Z115" s="18">
        <f t="shared" si="9"/>
        <v>1089</v>
      </c>
      <c r="AA115" s="10">
        <f t="shared" si="18"/>
        <v>13089</v>
      </c>
      <c r="AB115" s="25">
        <v>13128</v>
      </c>
      <c r="AC115" s="19">
        <f t="shared" si="19"/>
        <v>-39</v>
      </c>
      <c r="AE115" s="9">
        <v>13089</v>
      </c>
      <c r="AF115" s="8">
        <f t="shared" si="12"/>
        <v>0</v>
      </c>
      <c r="AG115" s="84"/>
    </row>
    <row r="116" spans="1:33" ht="30.2" customHeight="1" x14ac:dyDescent="0.25">
      <c r="A116" s="22">
        <v>112</v>
      </c>
      <c r="B116" s="23"/>
      <c r="C116" s="103" t="s">
        <v>267</v>
      </c>
      <c r="D116" s="96" t="s">
        <v>9</v>
      </c>
      <c r="E116" s="52">
        <v>3000</v>
      </c>
      <c r="F116" s="54">
        <v>3000</v>
      </c>
      <c r="G116" s="58">
        <v>1066</v>
      </c>
      <c r="H116" s="72"/>
      <c r="I116" s="73"/>
      <c r="J116" s="73"/>
      <c r="K116" s="73"/>
      <c r="L116" s="73"/>
      <c r="M116" s="73"/>
      <c r="N116" s="73"/>
      <c r="O116" s="73"/>
      <c r="P116" s="73"/>
      <c r="Q116" s="70"/>
      <c r="R116" s="71"/>
      <c r="S116" s="71"/>
      <c r="T116" s="71"/>
      <c r="U116" s="71"/>
      <c r="V116" s="71"/>
      <c r="W116" s="71"/>
      <c r="X116" s="71"/>
      <c r="Y116" s="71"/>
      <c r="Z116" s="18">
        <f t="shared" si="9"/>
        <v>1066</v>
      </c>
      <c r="AA116" s="10">
        <f t="shared" si="18"/>
        <v>4066</v>
      </c>
      <c r="AB116" s="25">
        <v>4096</v>
      </c>
      <c r="AC116" s="19">
        <f t="shared" si="19"/>
        <v>-30</v>
      </c>
      <c r="AE116" s="9">
        <v>4066</v>
      </c>
      <c r="AF116" s="8">
        <f t="shared" si="12"/>
        <v>0</v>
      </c>
    </row>
    <row r="117" spans="1:33" ht="30.2" customHeight="1" x14ac:dyDescent="0.25">
      <c r="A117" s="22">
        <v>113</v>
      </c>
      <c r="B117" s="23"/>
      <c r="C117" s="103" t="s">
        <v>16</v>
      </c>
      <c r="D117" s="96" t="s">
        <v>140</v>
      </c>
      <c r="E117" s="52">
        <v>3000</v>
      </c>
      <c r="F117" s="54">
        <v>3000</v>
      </c>
      <c r="G117" s="58">
        <v>157</v>
      </c>
      <c r="H117" s="72"/>
      <c r="I117" s="73"/>
      <c r="J117" s="73"/>
      <c r="K117" s="73"/>
      <c r="L117" s="73"/>
      <c r="M117" s="73"/>
      <c r="N117" s="73"/>
      <c r="O117" s="73"/>
      <c r="P117" s="73"/>
      <c r="Q117" s="70"/>
      <c r="R117" s="71"/>
      <c r="S117" s="71"/>
      <c r="T117" s="71"/>
      <c r="U117" s="71"/>
      <c r="V117" s="71"/>
      <c r="W117" s="71"/>
      <c r="X117" s="71"/>
      <c r="Y117" s="71"/>
      <c r="Z117" s="18">
        <f t="shared" si="9"/>
        <v>157</v>
      </c>
      <c r="AA117" s="10">
        <f t="shared" si="18"/>
        <v>3157</v>
      </c>
      <c r="AB117" s="25">
        <v>3157</v>
      </c>
      <c r="AC117" s="19">
        <f t="shared" si="19"/>
        <v>0</v>
      </c>
      <c r="AE117" s="9">
        <v>3157</v>
      </c>
      <c r="AF117" s="8">
        <f t="shared" si="12"/>
        <v>0</v>
      </c>
    </row>
    <row r="118" spans="1:33" ht="30.2" customHeight="1" x14ac:dyDescent="0.25">
      <c r="A118" s="22">
        <v>114</v>
      </c>
      <c r="B118" s="23"/>
      <c r="C118" s="103" t="s">
        <v>268</v>
      </c>
      <c r="D118" s="96" t="s">
        <v>141</v>
      </c>
      <c r="E118" s="56">
        <v>0</v>
      </c>
      <c r="F118" s="54">
        <v>0</v>
      </c>
      <c r="G118" s="58">
        <v>1268</v>
      </c>
      <c r="H118" s="72"/>
      <c r="I118" s="73"/>
      <c r="J118" s="73"/>
      <c r="K118" s="73"/>
      <c r="L118" s="73"/>
      <c r="M118" s="73"/>
      <c r="N118" s="73"/>
      <c r="O118" s="73"/>
      <c r="P118" s="73"/>
      <c r="Q118" s="70"/>
      <c r="R118" s="71"/>
      <c r="S118" s="71"/>
      <c r="T118" s="71"/>
      <c r="U118" s="71"/>
      <c r="V118" s="71"/>
      <c r="W118" s="71"/>
      <c r="X118" s="71"/>
      <c r="Y118" s="71"/>
      <c r="Z118" s="18">
        <f t="shared" si="9"/>
        <v>1268</v>
      </c>
      <c r="AA118" s="10">
        <f t="shared" si="18"/>
        <v>1268</v>
      </c>
      <c r="AB118" s="25">
        <v>1273</v>
      </c>
      <c r="AC118" s="19">
        <f t="shared" si="19"/>
        <v>-5</v>
      </c>
      <c r="AE118" s="9">
        <v>1268</v>
      </c>
      <c r="AF118" s="8">
        <f t="shared" si="12"/>
        <v>0</v>
      </c>
    </row>
    <row r="119" spans="1:33" ht="30.2" customHeight="1" x14ac:dyDescent="0.25">
      <c r="A119" s="22">
        <v>115</v>
      </c>
      <c r="B119" s="23"/>
      <c r="C119" s="103" t="s">
        <v>269</v>
      </c>
      <c r="D119" s="96" t="s">
        <v>142</v>
      </c>
      <c r="E119" s="41" t="s">
        <v>357</v>
      </c>
      <c r="F119" s="27">
        <v>6000</v>
      </c>
      <c r="G119" s="58">
        <v>2015</v>
      </c>
      <c r="H119" s="72"/>
      <c r="I119" s="73"/>
      <c r="J119" s="73"/>
      <c r="K119" s="73"/>
      <c r="L119" s="73"/>
      <c r="M119" s="73"/>
      <c r="N119" s="73"/>
      <c r="O119" s="73"/>
      <c r="P119" s="73"/>
      <c r="Q119" s="70"/>
      <c r="R119" s="71"/>
      <c r="S119" s="71"/>
      <c r="T119" s="71"/>
      <c r="U119" s="71"/>
      <c r="V119" s="71"/>
      <c r="W119" s="71"/>
      <c r="X119" s="71"/>
      <c r="Y119" s="71"/>
      <c r="Z119" s="18">
        <f t="shared" si="9"/>
        <v>2015</v>
      </c>
      <c r="AA119" s="10">
        <f t="shared" si="18"/>
        <v>8015</v>
      </c>
      <c r="AB119" s="25">
        <v>8015</v>
      </c>
      <c r="AC119" s="19">
        <f t="shared" si="19"/>
        <v>0</v>
      </c>
      <c r="AE119" s="9">
        <v>8015</v>
      </c>
      <c r="AF119" s="8">
        <f t="shared" si="12"/>
        <v>0</v>
      </c>
    </row>
    <row r="120" spans="1:33" ht="30.2" customHeight="1" x14ac:dyDescent="0.25">
      <c r="A120" s="22">
        <v>116</v>
      </c>
      <c r="B120" s="23"/>
      <c r="C120" s="103" t="s">
        <v>270</v>
      </c>
      <c r="D120" s="96" t="s">
        <v>143</v>
      </c>
      <c r="E120" s="52">
        <v>3000</v>
      </c>
      <c r="F120" s="54">
        <v>3000</v>
      </c>
      <c r="G120" s="58">
        <v>2353</v>
      </c>
      <c r="H120" s="72"/>
      <c r="I120" s="73"/>
      <c r="J120" s="73"/>
      <c r="K120" s="73"/>
      <c r="L120" s="73"/>
      <c r="M120" s="73"/>
      <c r="N120" s="73"/>
      <c r="O120" s="73"/>
      <c r="P120" s="73"/>
      <c r="Q120" s="70"/>
      <c r="R120" s="71"/>
      <c r="S120" s="71"/>
      <c r="T120" s="71"/>
      <c r="U120" s="71"/>
      <c r="V120" s="71"/>
      <c r="W120" s="71"/>
      <c r="X120" s="71"/>
      <c r="Y120" s="71"/>
      <c r="Z120" s="18">
        <f t="shared" si="9"/>
        <v>2353</v>
      </c>
      <c r="AA120" s="10">
        <f t="shared" si="18"/>
        <v>5353</v>
      </c>
      <c r="AB120" s="25">
        <v>5353</v>
      </c>
      <c r="AC120" s="19">
        <f t="shared" si="19"/>
        <v>0</v>
      </c>
      <c r="AE120" s="9">
        <v>5353</v>
      </c>
      <c r="AF120" s="8">
        <f t="shared" si="12"/>
        <v>0</v>
      </c>
    </row>
    <row r="121" spans="1:33" ht="30.2" customHeight="1" x14ac:dyDescent="0.25">
      <c r="A121" s="22">
        <v>117</v>
      </c>
      <c r="B121" s="23"/>
      <c r="C121" s="128" t="s">
        <v>290</v>
      </c>
      <c r="D121" s="96" t="s">
        <v>293</v>
      </c>
      <c r="E121" s="52">
        <v>25</v>
      </c>
      <c r="F121" s="54">
        <v>25</v>
      </c>
      <c r="G121" s="58"/>
      <c r="H121" s="72"/>
      <c r="I121" s="73"/>
      <c r="J121" s="73"/>
      <c r="K121" s="73"/>
      <c r="L121" s="73"/>
      <c r="M121" s="73"/>
      <c r="N121" s="73"/>
      <c r="O121" s="73"/>
      <c r="P121" s="73"/>
      <c r="Q121" s="70"/>
      <c r="R121" s="71"/>
      <c r="S121" s="71"/>
      <c r="T121" s="71"/>
      <c r="U121" s="71"/>
      <c r="V121" s="71"/>
      <c r="W121" s="71"/>
      <c r="X121" s="71"/>
      <c r="Y121" s="71"/>
      <c r="Z121" s="18">
        <f t="shared" si="9"/>
        <v>0</v>
      </c>
      <c r="AA121" s="10">
        <f t="shared" ref="AA121:AA124" si="24">F121+Z121</f>
        <v>25</v>
      </c>
      <c r="AB121" s="25">
        <v>25</v>
      </c>
      <c r="AC121" s="19">
        <f t="shared" ref="AC121:AC124" si="25">AA121-AB121</f>
        <v>0</v>
      </c>
      <c r="AE121" s="9">
        <v>25</v>
      </c>
      <c r="AF121" s="8">
        <f t="shared" si="12"/>
        <v>0</v>
      </c>
    </row>
    <row r="122" spans="1:33" ht="30.2" customHeight="1" x14ac:dyDescent="0.25">
      <c r="A122" s="22">
        <v>118</v>
      </c>
      <c r="B122" s="23"/>
      <c r="C122" s="103" t="s">
        <v>360</v>
      </c>
      <c r="D122" s="96" t="s">
        <v>361</v>
      </c>
      <c r="E122" s="134">
        <v>100</v>
      </c>
      <c r="F122" s="54">
        <v>100</v>
      </c>
      <c r="G122" s="58"/>
      <c r="H122" s="72"/>
      <c r="I122" s="73"/>
      <c r="J122" s="73"/>
      <c r="K122" s="73"/>
      <c r="L122" s="73"/>
      <c r="M122" s="73"/>
      <c r="N122" s="73"/>
      <c r="O122" s="73"/>
      <c r="P122" s="73"/>
      <c r="Q122" s="70"/>
      <c r="R122" s="71"/>
      <c r="S122" s="71"/>
      <c r="T122" s="71"/>
      <c r="U122" s="71"/>
      <c r="V122" s="71"/>
      <c r="W122" s="71"/>
      <c r="X122" s="71"/>
      <c r="Y122" s="71"/>
      <c r="Z122" s="18">
        <f t="shared" ref="Z122" si="26">G122+H122+I122+J122+K122+L122+M122+N122+O122+P122+Q122+R122+S122+T122+U122+V122+W122+X122+Y122</f>
        <v>0</v>
      </c>
      <c r="AA122" s="10">
        <f t="shared" ref="AA122" si="27">F122+Z122</f>
        <v>100</v>
      </c>
      <c r="AB122" s="25">
        <v>100</v>
      </c>
      <c r="AC122" s="19">
        <f t="shared" ref="AC122" si="28">AA122-AB122</f>
        <v>0</v>
      </c>
      <c r="AE122" s="9">
        <v>100</v>
      </c>
      <c r="AF122" s="8">
        <f t="shared" ref="AF122" si="29">AE122-AA122</f>
        <v>0</v>
      </c>
    </row>
    <row r="123" spans="1:33" ht="30.2" customHeight="1" x14ac:dyDescent="0.25">
      <c r="A123" s="22">
        <v>119</v>
      </c>
      <c r="B123" s="23"/>
      <c r="C123" s="103" t="s">
        <v>363</v>
      </c>
      <c r="D123" s="96" t="s">
        <v>364</v>
      </c>
      <c r="E123" s="134">
        <v>100</v>
      </c>
      <c r="F123" s="54">
        <v>100</v>
      </c>
      <c r="G123" s="58"/>
      <c r="H123" s="72"/>
      <c r="I123" s="73"/>
      <c r="J123" s="73"/>
      <c r="K123" s="73"/>
      <c r="L123" s="73"/>
      <c r="M123" s="73"/>
      <c r="N123" s="73"/>
      <c r="O123" s="73"/>
      <c r="P123" s="73"/>
      <c r="Q123" s="70"/>
      <c r="R123" s="71"/>
      <c r="S123" s="71"/>
      <c r="T123" s="71"/>
      <c r="U123" s="71"/>
      <c r="V123" s="71"/>
      <c r="W123" s="71"/>
      <c r="X123" s="71"/>
      <c r="Y123" s="71"/>
      <c r="Z123" s="18">
        <f t="shared" ref="Z123" si="30">G123+H123+I123+J123+K123+L123+M123+N123+O123+P123+Q123+R123+S123+T123+U123+V123+W123+X123+Y123</f>
        <v>0</v>
      </c>
      <c r="AA123" s="10">
        <f t="shared" ref="AA123" si="31">F123+Z123</f>
        <v>100</v>
      </c>
      <c r="AB123" s="25">
        <v>100</v>
      </c>
      <c r="AC123" s="19">
        <f t="shared" ref="AC123" si="32">AA123-AB123</f>
        <v>0</v>
      </c>
      <c r="AE123" s="9">
        <v>100</v>
      </c>
      <c r="AF123" s="8">
        <f t="shared" ref="AF123" si="33">AE123-AA123</f>
        <v>0</v>
      </c>
    </row>
    <row r="124" spans="1:33" ht="30.2" customHeight="1" x14ac:dyDescent="0.25">
      <c r="A124" s="22">
        <v>120</v>
      </c>
      <c r="B124" s="23"/>
      <c r="C124" s="128" t="s">
        <v>291</v>
      </c>
      <c r="D124" s="96" t="s">
        <v>294</v>
      </c>
      <c r="E124" s="52" t="s">
        <v>359</v>
      </c>
      <c r="F124" s="54">
        <v>2500</v>
      </c>
      <c r="G124" s="58"/>
      <c r="H124" s="72"/>
      <c r="I124" s="73"/>
      <c r="J124" s="73"/>
      <c r="K124" s="73"/>
      <c r="L124" s="73"/>
      <c r="M124" s="73"/>
      <c r="N124" s="73"/>
      <c r="O124" s="73"/>
      <c r="P124" s="73"/>
      <c r="Q124" s="70"/>
      <c r="R124" s="71"/>
      <c r="S124" s="71"/>
      <c r="T124" s="71"/>
      <c r="U124" s="71"/>
      <c r="V124" s="71"/>
      <c r="W124" s="71"/>
      <c r="X124" s="71"/>
      <c r="Y124" s="71"/>
      <c r="Z124" s="18">
        <f t="shared" si="9"/>
        <v>0</v>
      </c>
      <c r="AA124" s="10">
        <f t="shared" si="24"/>
        <v>2500</v>
      </c>
      <c r="AB124" s="25">
        <v>2500</v>
      </c>
      <c r="AC124" s="19">
        <f t="shared" si="25"/>
        <v>0</v>
      </c>
      <c r="AE124" s="9">
        <v>2500</v>
      </c>
      <c r="AF124" s="8">
        <f t="shared" si="12"/>
        <v>0</v>
      </c>
    </row>
    <row r="125" spans="1:33" ht="30.2" customHeight="1" x14ac:dyDescent="0.25">
      <c r="A125" s="22">
        <v>121</v>
      </c>
      <c r="B125" s="23"/>
      <c r="C125" s="103" t="s">
        <v>271</v>
      </c>
      <c r="D125" s="96" t="s">
        <v>144</v>
      </c>
      <c r="E125" s="52" t="s">
        <v>327</v>
      </c>
      <c r="F125" s="54">
        <v>1500</v>
      </c>
      <c r="G125" s="58">
        <v>92</v>
      </c>
      <c r="H125" s="72"/>
      <c r="I125" s="73"/>
      <c r="J125" s="73"/>
      <c r="K125" s="73"/>
      <c r="L125" s="73"/>
      <c r="M125" s="73"/>
      <c r="N125" s="73"/>
      <c r="O125" s="73"/>
      <c r="P125" s="73"/>
      <c r="Q125" s="70"/>
      <c r="R125" s="71"/>
      <c r="S125" s="71"/>
      <c r="T125" s="71"/>
      <c r="U125" s="71"/>
      <c r="V125" s="71"/>
      <c r="W125" s="71"/>
      <c r="X125" s="71"/>
      <c r="Y125" s="71"/>
      <c r="Z125" s="18">
        <f t="shared" si="9"/>
        <v>92</v>
      </c>
      <c r="AA125" s="10">
        <f t="shared" si="18"/>
        <v>1592</v>
      </c>
      <c r="AB125" s="25">
        <v>1597</v>
      </c>
      <c r="AC125" s="19">
        <f t="shared" si="19"/>
        <v>-5</v>
      </c>
      <c r="AE125" s="9">
        <v>1592</v>
      </c>
      <c r="AF125" s="8">
        <f t="shared" si="12"/>
        <v>0</v>
      </c>
    </row>
    <row r="126" spans="1:33" ht="30.2" customHeight="1" x14ac:dyDescent="0.25">
      <c r="A126" s="22">
        <v>122</v>
      </c>
      <c r="B126" s="23"/>
      <c r="C126" s="103" t="s">
        <v>272</v>
      </c>
      <c r="D126" s="96" t="s">
        <v>10</v>
      </c>
      <c r="E126" s="52">
        <v>0</v>
      </c>
      <c r="F126" s="54">
        <v>0</v>
      </c>
      <c r="G126" s="58">
        <v>2647</v>
      </c>
      <c r="H126" s="72"/>
      <c r="I126" s="73"/>
      <c r="J126" s="73"/>
      <c r="K126" s="73"/>
      <c r="L126" s="73"/>
      <c r="M126" s="73"/>
      <c r="N126" s="73"/>
      <c r="O126" s="73"/>
      <c r="P126" s="73"/>
      <c r="Q126" s="70"/>
      <c r="R126" s="71"/>
      <c r="S126" s="71"/>
      <c r="T126" s="71"/>
      <c r="U126" s="71"/>
      <c r="V126" s="71"/>
      <c r="W126" s="71"/>
      <c r="X126" s="71"/>
      <c r="Y126" s="71"/>
      <c r="Z126" s="18">
        <f t="shared" si="9"/>
        <v>2647</v>
      </c>
      <c r="AA126" s="10">
        <f t="shared" si="18"/>
        <v>2647</v>
      </c>
      <c r="AB126" s="25">
        <v>2647</v>
      </c>
      <c r="AC126" s="19">
        <f t="shared" si="19"/>
        <v>0</v>
      </c>
      <c r="AE126" s="9">
        <v>2647</v>
      </c>
      <c r="AF126" s="8">
        <f t="shared" si="12"/>
        <v>0</v>
      </c>
    </row>
    <row r="127" spans="1:33" ht="30.2" customHeight="1" x14ac:dyDescent="0.25">
      <c r="A127" s="22">
        <v>123</v>
      </c>
      <c r="B127" s="23"/>
      <c r="C127" s="103" t="s">
        <v>273</v>
      </c>
      <c r="D127" s="96" t="s">
        <v>145</v>
      </c>
      <c r="E127" s="56">
        <v>0</v>
      </c>
      <c r="F127" s="54">
        <v>0</v>
      </c>
      <c r="G127" s="58">
        <v>1505</v>
      </c>
      <c r="H127" s="72"/>
      <c r="I127" s="73"/>
      <c r="J127" s="73"/>
      <c r="K127" s="73"/>
      <c r="L127" s="73"/>
      <c r="M127" s="73"/>
      <c r="N127" s="73"/>
      <c r="O127" s="73"/>
      <c r="P127" s="73"/>
      <c r="Q127" s="70"/>
      <c r="R127" s="71"/>
      <c r="S127" s="71"/>
      <c r="T127" s="71"/>
      <c r="U127" s="71"/>
      <c r="V127" s="71"/>
      <c r="W127" s="71"/>
      <c r="X127" s="71"/>
      <c r="Y127" s="71"/>
      <c r="Z127" s="18">
        <f t="shared" si="9"/>
        <v>1505</v>
      </c>
      <c r="AA127" s="10">
        <f t="shared" si="18"/>
        <v>1505</v>
      </c>
      <c r="AB127" s="25">
        <v>1512</v>
      </c>
      <c r="AC127" s="19">
        <f t="shared" si="19"/>
        <v>-7</v>
      </c>
      <c r="AE127" s="9">
        <v>1505</v>
      </c>
      <c r="AF127" s="8">
        <f t="shared" si="12"/>
        <v>0</v>
      </c>
    </row>
    <row r="128" spans="1:33" ht="30.2" customHeight="1" x14ac:dyDescent="0.25">
      <c r="A128" s="22">
        <v>124</v>
      </c>
      <c r="B128" s="23"/>
      <c r="C128" s="103" t="s">
        <v>274</v>
      </c>
      <c r="D128" s="96" t="s">
        <v>146</v>
      </c>
      <c r="E128" s="52">
        <v>400</v>
      </c>
      <c r="F128" s="54">
        <v>400</v>
      </c>
      <c r="G128" s="58">
        <v>31</v>
      </c>
      <c r="H128" s="72"/>
      <c r="I128" s="73"/>
      <c r="J128" s="73"/>
      <c r="K128" s="73"/>
      <c r="L128" s="73"/>
      <c r="M128" s="73"/>
      <c r="N128" s="73"/>
      <c r="O128" s="73"/>
      <c r="P128" s="73"/>
      <c r="Q128" s="70"/>
      <c r="R128" s="71"/>
      <c r="S128" s="71"/>
      <c r="T128" s="71"/>
      <c r="U128" s="71"/>
      <c r="V128" s="71"/>
      <c r="W128" s="71"/>
      <c r="X128" s="71"/>
      <c r="Y128" s="71"/>
      <c r="Z128" s="18">
        <f t="shared" si="9"/>
        <v>31</v>
      </c>
      <c r="AA128" s="10">
        <f t="shared" si="18"/>
        <v>431</v>
      </c>
      <c r="AB128" s="25">
        <v>434</v>
      </c>
      <c r="AC128" s="19">
        <f t="shared" si="19"/>
        <v>-3</v>
      </c>
      <c r="AE128" s="9">
        <v>431</v>
      </c>
      <c r="AF128" s="8">
        <f t="shared" si="12"/>
        <v>0</v>
      </c>
    </row>
    <row r="129" spans="1:32" ht="30.2" customHeight="1" x14ac:dyDescent="0.25">
      <c r="A129" s="22">
        <v>125</v>
      </c>
      <c r="B129" s="23"/>
      <c r="C129" s="103" t="s">
        <v>275</v>
      </c>
      <c r="D129" s="104" t="s">
        <v>147</v>
      </c>
      <c r="E129" s="52">
        <v>150</v>
      </c>
      <c r="F129" s="27">
        <v>150</v>
      </c>
      <c r="G129" s="58">
        <v>201</v>
      </c>
      <c r="H129" s="72"/>
      <c r="I129" s="73"/>
      <c r="J129" s="73"/>
      <c r="K129" s="73"/>
      <c r="L129" s="73"/>
      <c r="M129" s="73"/>
      <c r="N129" s="73"/>
      <c r="O129" s="73"/>
      <c r="P129" s="73"/>
      <c r="Q129" s="70"/>
      <c r="R129" s="71"/>
      <c r="S129" s="71"/>
      <c r="T129" s="71"/>
      <c r="U129" s="71"/>
      <c r="V129" s="71"/>
      <c r="W129" s="71"/>
      <c r="X129" s="71"/>
      <c r="Y129" s="71"/>
      <c r="Z129" s="18">
        <f t="shared" si="9"/>
        <v>201</v>
      </c>
      <c r="AA129" s="10">
        <f t="shared" si="18"/>
        <v>351</v>
      </c>
      <c r="AB129" s="25">
        <v>358</v>
      </c>
      <c r="AC129" s="19">
        <f t="shared" si="19"/>
        <v>-7</v>
      </c>
      <c r="AE129" s="9">
        <v>351</v>
      </c>
      <c r="AF129" s="8">
        <f t="shared" si="12"/>
        <v>0</v>
      </c>
    </row>
    <row r="130" spans="1:32" ht="30.2" customHeight="1" x14ac:dyDescent="0.25">
      <c r="A130" s="22">
        <v>126</v>
      </c>
      <c r="B130" s="23"/>
      <c r="C130" s="103" t="s">
        <v>17</v>
      </c>
      <c r="D130" s="96" t="s">
        <v>33</v>
      </c>
      <c r="E130" s="52" t="s">
        <v>328</v>
      </c>
      <c r="F130" s="54">
        <v>4094</v>
      </c>
      <c r="G130" s="58">
        <v>196</v>
      </c>
      <c r="H130" s="72"/>
      <c r="I130" s="73"/>
      <c r="J130" s="73"/>
      <c r="K130" s="73"/>
      <c r="L130" s="73"/>
      <c r="M130" s="73"/>
      <c r="N130" s="73"/>
      <c r="O130" s="73"/>
      <c r="P130" s="73"/>
      <c r="Q130" s="70"/>
      <c r="R130" s="71"/>
      <c r="S130" s="71"/>
      <c r="T130" s="71"/>
      <c r="U130" s="71"/>
      <c r="V130" s="71"/>
      <c r="W130" s="71"/>
      <c r="X130" s="71"/>
      <c r="Y130" s="71"/>
      <c r="Z130" s="18">
        <f t="shared" si="9"/>
        <v>196</v>
      </c>
      <c r="AA130" s="10">
        <f t="shared" si="18"/>
        <v>4290</v>
      </c>
      <c r="AB130" s="25">
        <v>4297</v>
      </c>
      <c r="AC130" s="19">
        <f t="shared" si="19"/>
        <v>-7</v>
      </c>
      <c r="AE130" s="9">
        <v>4290</v>
      </c>
      <c r="AF130" s="8">
        <f t="shared" si="12"/>
        <v>0</v>
      </c>
    </row>
    <row r="131" spans="1:32" ht="30.2" customHeight="1" x14ac:dyDescent="0.25">
      <c r="A131" s="22">
        <v>127</v>
      </c>
      <c r="B131" s="23"/>
      <c r="C131" s="102" t="s">
        <v>276</v>
      </c>
      <c r="D131" s="96" t="s">
        <v>31</v>
      </c>
      <c r="E131" s="52">
        <v>240</v>
      </c>
      <c r="F131" s="54">
        <v>240</v>
      </c>
      <c r="G131" s="58">
        <v>295</v>
      </c>
      <c r="H131" s="72"/>
      <c r="I131" s="73"/>
      <c r="J131" s="73"/>
      <c r="K131" s="73"/>
      <c r="L131" s="73"/>
      <c r="M131" s="73"/>
      <c r="N131" s="73"/>
      <c r="O131" s="73"/>
      <c r="P131" s="73"/>
      <c r="Q131" s="70"/>
      <c r="R131" s="71"/>
      <c r="S131" s="71"/>
      <c r="T131" s="71"/>
      <c r="U131" s="71"/>
      <c r="V131" s="71"/>
      <c r="W131" s="71"/>
      <c r="X131" s="71"/>
      <c r="Y131" s="71"/>
      <c r="Z131" s="18">
        <f t="shared" si="9"/>
        <v>295</v>
      </c>
      <c r="AA131" s="10">
        <f t="shared" si="18"/>
        <v>535</v>
      </c>
      <c r="AB131" s="25">
        <v>535</v>
      </c>
      <c r="AC131" s="19">
        <f t="shared" si="19"/>
        <v>0</v>
      </c>
      <c r="AE131" s="9">
        <v>535</v>
      </c>
      <c r="AF131" s="8">
        <f t="shared" si="12"/>
        <v>0</v>
      </c>
    </row>
    <row r="132" spans="1:32" ht="30.2" customHeight="1" x14ac:dyDescent="0.25">
      <c r="A132" s="22">
        <v>128</v>
      </c>
      <c r="B132" s="23"/>
      <c r="C132" s="102" t="s">
        <v>277</v>
      </c>
      <c r="D132" s="96" t="s">
        <v>148</v>
      </c>
      <c r="E132" s="52" t="s">
        <v>329</v>
      </c>
      <c r="F132" s="54">
        <v>250</v>
      </c>
      <c r="G132" s="58">
        <v>103</v>
      </c>
      <c r="H132" s="72"/>
      <c r="I132" s="73"/>
      <c r="J132" s="73"/>
      <c r="K132" s="73"/>
      <c r="L132" s="73"/>
      <c r="M132" s="73"/>
      <c r="N132" s="73"/>
      <c r="O132" s="73"/>
      <c r="P132" s="73"/>
      <c r="Q132" s="70"/>
      <c r="R132" s="71"/>
      <c r="S132" s="71"/>
      <c r="T132" s="71"/>
      <c r="U132" s="71"/>
      <c r="V132" s="71"/>
      <c r="W132" s="71"/>
      <c r="X132" s="71"/>
      <c r="Y132" s="71"/>
      <c r="Z132" s="18">
        <f t="shared" si="9"/>
        <v>103</v>
      </c>
      <c r="AA132" s="10">
        <f t="shared" si="18"/>
        <v>353</v>
      </c>
      <c r="AB132" s="25">
        <v>353</v>
      </c>
      <c r="AC132" s="19">
        <f t="shared" si="19"/>
        <v>0</v>
      </c>
      <c r="AE132" s="9">
        <v>353</v>
      </c>
      <c r="AF132" s="8">
        <f t="shared" si="12"/>
        <v>0</v>
      </c>
    </row>
    <row r="133" spans="1:32" ht="30.2" customHeight="1" x14ac:dyDescent="0.25">
      <c r="A133" s="22">
        <v>129</v>
      </c>
      <c r="B133" s="23"/>
      <c r="C133" s="102" t="s">
        <v>18</v>
      </c>
      <c r="D133" s="96" t="s">
        <v>149</v>
      </c>
      <c r="E133" s="52" t="s">
        <v>330</v>
      </c>
      <c r="F133" s="54">
        <v>6230</v>
      </c>
      <c r="G133" s="58">
        <v>568</v>
      </c>
      <c r="H133" s="72"/>
      <c r="I133" s="73"/>
      <c r="J133" s="73"/>
      <c r="K133" s="73"/>
      <c r="L133" s="73"/>
      <c r="M133" s="73"/>
      <c r="N133" s="73"/>
      <c r="O133" s="73"/>
      <c r="P133" s="73"/>
      <c r="Q133" s="70"/>
      <c r="R133" s="71"/>
      <c r="S133" s="71"/>
      <c r="T133" s="71"/>
      <c r="U133" s="71"/>
      <c r="V133" s="71"/>
      <c r="W133" s="71"/>
      <c r="X133" s="71"/>
      <c r="Y133" s="71"/>
      <c r="Z133" s="18">
        <f t="shared" si="9"/>
        <v>568</v>
      </c>
      <c r="AA133" s="10">
        <f t="shared" si="18"/>
        <v>6798</v>
      </c>
      <c r="AB133" s="25">
        <v>6837</v>
      </c>
      <c r="AC133" s="19">
        <f t="shared" si="19"/>
        <v>-39</v>
      </c>
      <c r="AE133" s="9">
        <v>6798</v>
      </c>
      <c r="AF133" s="8">
        <f t="shared" si="12"/>
        <v>0</v>
      </c>
    </row>
    <row r="134" spans="1:32" ht="30.2" customHeight="1" x14ac:dyDescent="0.25">
      <c r="A134" s="22">
        <v>130</v>
      </c>
      <c r="B134" s="23"/>
      <c r="C134" s="101" t="s">
        <v>23</v>
      </c>
      <c r="D134" s="96" t="s">
        <v>150</v>
      </c>
      <c r="E134" s="151" t="s">
        <v>372</v>
      </c>
      <c r="F134" s="149">
        <v>1020</v>
      </c>
      <c r="G134" s="59">
        <v>17</v>
      </c>
      <c r="H134" s="72"/>
      <c r="I134" s="73"/>
      <c r="J134" s="73"/>
      <c r="K134" s="73"/>
      <c r="L134" s="73"/>
      <c r="M134" s="73"/>
      <c r="N134" s="73"/>
      <c r="O134" s="73"/>
      <c r="P134" s="73"/>
      <c r="Q134" s="70"/>
      <c r="R134" s="71"/>
      <c r="S134" s="71"/>
      <c r="T134" s="71"/>
      <c r="U134" s="71"/>
      <c r="V134" s="71"/>
      <c r="W134" s="71"/>
      <c r="X134" s="71"/>
      <c r="Y134" s="71"/>
      <c r="Z134" s="18">
        <f t="shared" si="9"/>
        <v>17</v>
      </c>
      <c r="AA134" s="10">
        <f t="shared" si="18"/>
        <v>1037</v>
      </c>
      <c r="AB134" s="25">
        <v>1053</v>
      </c>
      <c r="AC134" s="19">
        <f t="shared" si="19"/>
        <v>-16</v>
      </c>
      <c r="AE134" s="9">
        <v>1037</v>
      </c>
      <c r="AF134" s="8">
        <f t="shared" si="12"/>
        <v>0</v>
      </c>
    </row>
    <row r="135" spans="1:32" ht="30.2" customHeight="1" x14ac:dyDescent="0.25">
      <c r="A135" s="22">
        <v>131</v>
      </c>
      <c r="B135" s="23"/>
      <c r="C135" s="99" t="s">
        <v>24</v>
      </c>
      <c r="D135" s="96" t="s">
        <v>151</v>
      </c>
      <c r="E135" s="52">
        <v>1000</v>
      </c>
      <c r="F135" s="54">
        <v>1000</v>
      </c>
      <c r="G135" s="59">
        <v>18</v>
      </c>
      <c r="H135" s="72"/>
      <c r="I135" s="73"/>
      <c r="J135" s="73"/>
      <c r="K135" s="73"/>
      <c r="L135" s="73"/>
      <c r="M135" s="73"/>
      <c r="N135" s="73"/>
      <c r="O135" s="73"/>
      <c r="P135" s="73"/>
      <c r="Q135" s="70"/>
      <c r="R135" s="71"/>
      <c r="S135" s="71"/>
      <c r="T135" s="71"/>
      <c r="U135" s="71"/>
      <c r="V135" s="71"/>
      <c r="W135" s="71"/>
      <c r="X135" s="71"/>
      <c r="Y135" s="71"/>
      <c r="Z135" s="18">
        <f t="shared" si="9"/>
        <v>18</v>
      </c>
      <c r="AA135" s="10">
        <f t="shared" si="18"/>
        <v>1018</v>
      </c>
      <c r="AB135" s="25">
        <v>1014</v>
      </c>
      <c r="AC135" s="19">
        <f t="shared" si="19"/>
        <v>4</v>
      </c>
      <c r="AE135" s="9">
        <v>1014</v>
      </c>
      <c r="AF135" s="8">
        <f t="shared" si="12"/>
        <v>-4</v>
      </c>
    </row>
    <row r="136" spans="1:32" ht="30.2" customHeight="1" x14ac:dyDescent="0.25">
      <c r="A136" s="22">
        <v>132</v>
      </c>
      <c r="B136" s="23"/>
      <c r="C136" s="110" t="s">
        <v>20</v>
      </c>
      <c r="D136" s="111" t="s">
        <v>152</v>
      </c>
      <c r="E136" s="52" t="s">
        <v>332</v>
      </c>
      <c r="F136" s="54">
        <v>440</v>
      </c>
      <c r="G136" s="59">
        <v>3</v>
      </c>
      <c r="H136" s="72"/>
      <c r="I136" s="73"/>
      <c r="J136" s="73"/>
      <c r="K136" s="73"/>
      <c r="L136" s="73"/>
      <c r="M136" s="73"/>
      <c r="N136" s="73"/>
      <c r="O136" s="73"/>
      <c r="P136" s="73"/>
      <c r="Q136" s="70"/>
      <c r="R136" s="71"/>
      <c r="S136" s="71"/>
      <c r="T136" s="71"/>
      <c r="U136" s="71"/>
      <c r="V136" s="71"/>
      <c r="W136" s="71"/>
      <c r="X136" s="71"/>
      <c r="Y136" s="71"/>
      <c r="Z136" s="18">
        <f t="shared" si="9"/>
        <v>3</v>
      </c>
      <c r="AA136" s="10">
        <f t="shared" si="18"/>
        <v>443</v>
      </c>
      <c r="AB136" s="25">
        <v>443</v>
      </c>
      <c r="AC136" s="19">
        <f t="shared" si="19"/>
        <v>0</v>
      </c>
      <c r="AE136" s="9">
        <v>443</v>
      </c>
      <c r="AF136" s="8">
        <f t="shared" si="12"/>
        <v>0</v>
      </c>
    </row>
    <row r="137" spans="1:32" ht="30.2" customHeight="1" x14ac:dyDescent="0.25">
      <c r="A137" s="22">
        <v>133</v>
      </c>
      <c r="B137" s="23"/>
      <c r="C137" s="110" t="s">
        <v>21</v>
      </c>
      <c r="D137" s="111" t="s">
        <v>153</v>
      </c>
      <c r="E137" s="52">
        <v>0</v>
      </c>
      <c r="F137" s="54">
        <v>0</v>
      </c>
      <c r="G137" s="59"/>
      <c r="H137" s="76"/>
      <c r="I137" s="77"/>
      <c r="J137" s="77"/>
      <c r="K137" s="77"/>
      <c r="L137" s="77"/>
      <c r="M137" s="77"/>
      <c r="N137" s="77"/>
      <c r="O137" s="77"/>
      <c r="P137" s="77"/>
      <c r="Q137" s="70"/>
      <c r="R137" s="71"/>
      <c r="S137" s="71"/>
      <c r="T137" s="71"/>
      <c r="U137" s="71"/>
      <c r="V137" s="71"/>
      <c r="W137" s="71"/>
      <c r="X137" s="71"/>
      <c r="Y137" s="71"/>
      <c r="Z137" s="18">
        <f t="shared" ref="Z137:Z143" si="34">G137+H137+I137+J137+K137+L137+M137+N137+O137+P137+Q137+R137+S137+T137+U137+V137+W137+X137+Y137</f>
        <v>0</v>
      </c>
      <c r="AA137" s="10">
        <f t="shared" si="18"/>
        <v>0</v>
      </c>
      <c r="AB137" s="25">
        <v>0</v>
      </c>
      <c r="AC137" s="19">
        <f t="shared" si="19"/>
        <v>0</v>
      </c>
      <c r="AE137" s="9">
        <v>0</v>
      </c>
      <c r="AF137" s="8">
        <f t="shared" si="12"/>
        <v>0</v>
      </c>
    </row>
    <row r="138" spans="1:32" ht="30.2" customHeight="1" x14ac:dyDescent="0.25">
      <c r="A138" s="22">
        <v>134</v>
      </c>
      <c r="B138" s="23"/>
      <c r="C138" s="112" t="s">
        <v>19</v>
      </c>
      <c r="D138" s="111" t="s">
        <v>154</v>
      </c>
      <c r="E138" s="52" t="s">
        <v>333</v>
      </c>
      <c r="F138" s="54">
        <v>620</v>
      </c>
      <c r="G138" s="137">
        <v>110</v>
      </c>
      <c r="H138" s="72"/>
      <c r="I138" s="73"/>
      <c r="J138" s="73"/>
      <c r="K138" s="73"/>
      <c r="L138" s="73"/>
      <c r="M138" s="73"/>
      <c r="N138" s="73"/>
      <c r="O138" s="73"/>
      <c r="P138" s="73"/>
      <c r="Q138" s="70"/>
      <c r="R138" s="71"/>
      <c r="S138" s="71"/>
      <c r="T138" s="71"/>
      <c r="U138" s="71"/>
      <c r="V138" s="71"/>
      <c r="W138" s="71"/>
      <c r="X138" s="71"/>
      <c r="Y138" s="71"/>
      <c r="Z138" s="18">
        <f t="shared" si="34"/>
        <v>110</v>
      </c>
      <c r="AA138" s="10">
        <f t="shared" si="18"/>
        <v>730</v>
      </c>
      <c r="AB138" s="25">
        <v>736</v>
      </c>
      <c r="AC138" s="19">
        <f t="shared" si="19"/>
        <v>-6</v>
      </c>
      <c r="AE138" s="9">
        <v>730</v>
      </c>
      <c r="AF138" s="8">
        <f t="shared" ref="AF138:AF143" si="35">AE138-AA138</f>
        <v>0</v>
      </c>
    </row>
    <row r="139" spans="1:32" ht="30.2" customHeight="1" x14ac:dyDescent="0.25">
      <c r="A139" s="22">
        <v>135</v>
      </c>
      <c r="B139" s="23"/>
      <c r="C139" s="113" t="s">
        <v>22</v>
      </c>
      <c r="D139" s="111" t="s">
        <v>155</v>
      </c>
      <c r="E139" s="52">
        <v>500</v>
      </c>
      <c r="F139" s="54">
        <v>500</v>
      </c>
      <c r="G139" s="59">
        <v>56</v>
      </c>
      <c r="H139" s="72"/>
      <c r="I139" s="73"/>
      <c r="J139" s="73"/>
      <c r="K139" s="73"/>
      <c r="L139" s="73"/>
      <c r="M139" s="73"/>
      <c r="N139" s="73"/>
      <c r="O139" s="73"/>
      <c r="P139" s="73"/>
      <c r="Q139" s="70"/>
      <c r="R139" s="71"/>
      <c r="S139" s="71"/>
      <c r="T139" s="71"/>
      <c r="U139" s="71"/>
      <c r="V139" s="71"/>
      <c r="W139" s="71"/>
      <c r="X139" s="71"/>
      <c r="Y139" s="71"/>
      <c r="Z139" s="18">
        <f t="shared" si="34"/>
        <v>56</v>
      </c>
      <c r="AA139" s="10">
        <f t="shared" si="18"/>
        <v>556</v>
      </c>
      <c r="AB139" s="25">
        <v>556</v>
      </c>
      <c r="AC139" s="19">
        <f t="shared" si="19"/>
        <v>0</v>
      </c>
      <c r="AE139" s="9">
        <v>556</v>
      </c>
      <c r="AF139" s="8">
        <f t="shared" si="35"/>
        <v>0</v>
      </c>
    </row>
    <row r="140" spans="1:32" ht="30.2" customHeight="1" x14ac:dyDescent="0.25">
      <c r="A140" s="22">
        <v>136</v>
      </c>
      <c r="B140" s="23"/>
      <c r="C140" s="112" t="s">
        <v>25</v>
      </c>
      <c r="D140" s="111" t="s">
        <v>156</v>
      </c>
      <c r="E140" s="52" t="s">
        <v>341</v>
      </c>
      <c r="F140" s="54">
        <v>504</v>
      </c>
      <c r="G140" s="137">
        <v>79</v>
      </c>
      <c r="H140" s="76"/>
      <c r="I140" s="77"/>
      <c r="J140" s="77"/>
      <c r="K140" s="77"/>
      <c r="L140" s="77"/>
      <c r="M140" s="77"/>
      <c r="N140" s="77"/>
      <c r="O140" s="77"/>
      <c r="P140" s="77"/>
      <c r="Q140" s="74"/>
      <c r="R140" s="71"/>
      <c r="S140" s="71"/>
      <c r="T140" s="71"/>
      <c r="U140" s="71"/>
      <c r="V140" s="71"/>
      <c r="W140" s="71"/>
      <c r="X140" s="71"/>
      <c r="Y140" s="71"/>
      <c r="Z140" s="18">
        <f t="shared" si="34"/>
        <v>79</v>
      </c>
      <c r="AA140" s="10">
        <f t="shared" si="18"/>
        <v>583</v>
      </c>
      <c r="AB140" s="25">
        <v>672</v>
      </c>
      <c r="AC140" s="19">
        <f t="shared" si="19"/>
        <v>-89</v>
      </c>
      <c r="AE140" s="9">
        <v>619</v>
      </c>
      <c r="AF140" s="8">
        <f t="shared" si="35"/>
        <v>36</v>
      </c>
    </row>
    <row r="141" spans="1:32" ht="30.2" customHeight="1" x14ac:dyDescent="0.25">
      <c r="A141" s="22">
        <v>137</v>
      </c>
      <c r="B141" s="23"/>
      <c r="C141" s="114" t="s">
        <v>278</v>
      </c>
      <c r="D141" s="111" t="s">
        <v>157</v>
      </c>
      <c r="E141" s="52" t="s">
        <v>336</v>
      </c>
      <c r="F141" s="54">
        <v>448</v>
      </c>
      <c r="G141" s="59">
        <v>21</v>
      </c>
      <c r="H141" s="72"/>
      <c r="I141" s="73"/>
      <c r="J141" s="73"/>
      <c r="K141" s="73"/>
      <c r="L141" s="73"/>
      <c r="M141" s="73"/>
      <c r="N141" s="73"/>
      <c r="O141" s="73"/>
      <c r="P141" s="73"/>
      <c r="Q141" s="70"/>
      <c r="R141" s="71"/>
      <c r="S141" s="71"/>
      <c r="T141" s="71"/>
      <c r="U141" s="71"/>
      <c r="V141" s="71"/>
      <c r="W141" s="71"/>
      <c r="X141" s="71"/>
      <c r="Y141" s="71"/>
      <c r="Z141" s="18">
        <f t="shared" si="34"/>
        <v>21</v>
      </c>
      <c r="AA141" s="10">
        <f t="shared" si="18"/>
        <v>469</v>
      </c>
      <c r="AB141" s="25">
        <v>476</v>
      </c>
      <c r="AC141" s="19">
        <f t="shared" si="19"/>
        <v>-7</v>
      </c>
      <c r="AE141" s="9">
        <v>469</v>
      </c>
      <c r="AF141" s="8">
        <f t="shared" si="35"/>
        <v>0</v>
      </c>
    </row>
    <row r="142" spans="1:32" ht="30.2" customHeight="1" x14ac:dyDescent="0.25">
      <c r="A142" s="22">
        <v>138</v>
      </c>
      <c r="B142" s="23"/>
      <c r="C142" s="114" t="s">
        <v>279</v>
      </c>
      <c r="D142" s="111" t="s">
        <v>158</v>
      </c>
      <c r="E142" s="52">
        <v>0</v>
      </c>
      <c r="F142" s="54">
        <v>0</v>
      </c>
      <c r="G142" s="59">
        <v>493</v>
      </c>
      <c r="H142" s="72"/>
      <c r="I142" s="73"/>
      <c r="J142" s="73"/>
      <c r="K142" s="73"/>
      <c r="L142" s="73"/>
      <c r="M142" s="73"/>
      <c r="N142" s="73"/>
      <c r="O142" s="73"/>
      <c r="P142" s="73"/>
      <c r="Q142" s="70"/>
      <c r="R142" s="71"/>
      <c r="S142" s="71"/>
      <c r="T142" s="71"/>
      <c r="U142" s="71"/>
      <c r="V142" s="71"/>
      <c r="W142" s="71"/>
      <c r="X142" s="71"/>
      <c r="Y142" s="71"/>
      <c r="Z142" s="18">
        <f t="shared" si="34"/>
        <v>493</v>
      </c>
      <c r="AA142" s="10">
        <f t="shared" si="18"/>
        <v>493</v>
      </c>
      <c r="AB142" s="25">
        <v>493</v>
      </c>
      <c r="AC142" s="19">
        <f t="shared" si="19"/>
        <v>0</v>
      </c>
      <c r="AE142" s="9">
        <v>493</v>
      </c>
      <c r="AF142" s="8">
        <f t="shared" si="35"/>
        <v>0</v>
      </c>
    </row>
    <row r="143" spans="1:32" ht="30.2" customHeight="1" x14ac:dyDescent="0.25">
      <c r="A143" s="22">
        <v>139</v>
      </c>
      <c r="B143" s="23"/>
      <c r="C143" s="114" t="s">
        <v>280</v>
      </c>
      <c r="D143" s="111" t="s">
        <v>168</v>
      </c>
      <c r="E143" s="52" t="s">
        <v>343</v>
      </c>
      <c r="F143" s="54">
        <v>944</v>
      </c>
      <c r="G143" s="59">
        <v>25</v>
      </c>
      <c r="H143" s="76"/>
      <c r="I143" s="77"/>
      <c r="J143" s="77"/>
      <c r="K143" s="77"/>
      <c r="L143" s="77"/>
      <c r="M143" s="77"/>
      <c r="N143" s="77"/>
      <c r="O143" s="77"/>
      <c r="P143" s="77"/>
      <c r="Q143" s="74"/>
      <c r="R143" s="71"/>
      <c r="S143" s="71"/>
      <c r="T143" s="71"/>
      <c r="U143" s="71"/>
      <c r="V143" s="71"/>
      <c r="W143" s="71"/>
      <c r="X143" s="71"/>
      <c r="Y143" s="71"/>
      <c r="Z143" s="18">
        <f t="shared" si="34"/>
        <v>25</v>
      </c>
      <c r="AA143" s="10">
        <f t="shared" si="18"/>
        <v>969</v>
      </c>
      <c r="AB143" s="25">
        <v>981</v>
      </c>
      <c r="AC143" s="19">
        <f t="shared" si="19"/>
        <v>-12</v>
      </c>
      <c r="AE143" s="9">
        <v>969</v>
      </c>
      <c r="AF143" s="8">
        <f t="shared" si="35"/>
        <v>0</v>
      </c>
    </row>
    <row r="144" spans="1:32" ht="30.2" customHeight="1" thickBot="1" x14ac:dyDescent="0.3">
      <c r="A144" s="22">
        <v>140</v>
      </c>
      <c r="B144" s="89"/>
      <c r="C144" s="115" t="s">
        <v>26</v>
      </c>
      <c r="D144" s="116" t="s">
        <v>159</v>
      </c>
      <c r="E144" s="131" t="s">
        <v>344</v>
      </c>
      <c r="F144" s="57">
        <v>5100</v>
      </c>
      <c r="G144" s="127">
        <v>5</v>
      </c>
      <c r="H144" s="91"/>
      <c r="I144" s="92"/>
      <c r="J144" s="92"/>
      <c r="K144" s="92"/>
      <c r="L144" s="92"/>
      <c r="M144" s="92"/>
      <c r="N144" s="92"/>
      <c r="O144" s="92"/>
      <c r="P144" s="92"/>
      <c r="Q144" s="78"/>
      <c r="R144" s="79"/>
      <c r="S144" s="79"/>
      <c r="T144" s="79"/>
      <c r="U144" s="79"/>
      <c r="V144" s="79"/>
      <c r="W144" s="79"/>
      <c r="X144" s="79"/>
      <c r="Y144" s="79"/>
      <c r="Z144" s="47">
        <f t="shared" ref="Z144" si="36">G144+H144+I144+J144+K144+L144+M144+N144+O144+P144+Q144+R144+S144+T144+U144+V144+W144+X144+Y144</f>
        <v>5</v>
      </c>
      <c r="AA144" s="46">
        <f t="shared" si="18"/>
        <v>5105</v>
      </c>
      <c r="AB144" s="48">
        <v>5106</v>
      </c>
      <c r="AC144" s="49">
        <f t="shared" si="19"/>
        <v>-1</v>
      </c>
      <c r="AE144" s="50">
        <v>5105</v>
      </c>
      <c r="AF144" s="51">
        <f t="shared" ref="AF144" si="37">AE144-AA144</f>
        <v>0</v>
      </c>
    </row>
    <row r="146" spans="3:6" x14ac:dyDescent="0.25">
      <c r="C146" s="3" t="s">
        <v>167</v>
      </c>
      <c r="D146" s="124"/>
      <c r="E146" s="125" t="s">
        <v>346</v>
      </c>
      <c r="F146" s="1">
        <v>800</v>
      </c>
    </row>
    <row r="147" spans="3:6" x14ac:dyDescent="0.25">
      <c r="C147" s="3" t="s">
        <v>41</v>
      </c>
      <c r="D147" s="124"/>
      <c r="E147" s="125">
        <v>200</v>
      </c>
      <c r="F147" s="1">
        <v>200</v>
      </c>
    </row>
    <row r="148" spans="3:6" x14ac:dyDescent="0.25">
      <c r="C148" s="3" t="s">
        <v>42</v>
      </c>
      <c r="D148" s="124"/>
      <c r="E148" s="125"/>
    </row>
    <row r="149" spans="3:6" x14ac:dyDescent="0.25">
      <c r="C149" s="3" t="s">
        <v>43</v>
      </c>
      <c r="D149" s="124"/>
      <c r="E149" s="125"/>
    </row>
    <row r="150" spans="3:6" x14ac:dyDescent="0.25">
      <c r="C150" s="3" t="s">
        <v>44</v>
      </c>
      <c r="D150" s="124"/>
      <c r="E150" s="125"/>
    </row>
    <row r="151" spans="3:6" x14ac:dyDescent="0.25">
      <c r="C151" s="3" t="s">
        <v>45</v>
      </c>
      <c r="D151" s="124"/>
      <c r="E151" s="1">
        <v>400</v>
      </c>
      <c r="F151" s="1">
        <v>400</v>
      </c>
    </row>
    <row r="152" spans="3:6" x14ac:dyDescent="0.25">
      <c r="C152" s="3" t="s">
        <v>46</v>
      </c>
      <c r="D152" s="124"/>
      <c r="E152" s="126">
        <v>250</v>
      </c>
      <c r="F152" s="1">
        <v>250</v>
      </c>
    </row>
    <row r="153" spans="3:6" x14ac:dyDescent="0.25">
      <c r="C153" s="3" t="s">
        <v>47</v>
      </c>
      <c r="D153" s="124"/>
      <c r="E153" s="125" t="s">
        <v>347</v>
      </c>
      <c r="F153" s="1">
        <v>1400</v>
      </c>
    </row>
    <row r="154" spans="3:6" x14ac:dyDescent="0.25">
      <c r="C154" s="3" t="s">
        <v>48</v>
      </c>
      <c r="D154" s="124"/>
      <c r="E154" s="126"/>
    </row>
    <row r="155" spans="3:6" x14ac:dyDescent="0.25">
      <c r="C155" s="3" t="s">
        <v>49</v>
      </c>
      <c r="D155" s="124"/>
      <c r="E155" s="125"/>
    </row>
    <row r="156" spans="3:6" x14ac:dyDescent="0.25">
      <c r="C156" s="3" t="s">
        <v>50</v>
      </c>
      <c r="D156" s="124"/>
      <c r="E156" s="125"/>
    </row>
    <row r="157" spans="3:6" x14ac:dyDescent="0.25">
      <c r="C157" s="3" t="s">
        <v>51</v>
      </c>
      <c r="D157" s="124"/>
      <c r="E157" s="125"/>
    </row>
    <row r="158" spans="3:6" x14ac:dyDescent="0.25">
      <c r="C158" s="3" t="s">
        <v>52</v>
      </c>
      <c r="D158" s="124"/>
      <c r="E158" s="125" t="s">
        <v>348</v>
      </c>
      <c r="F158" s="1">
        <v>1400</v>
      </c>
    </row>
    <row r="159" spans="3:6" x14ac:dyDescent="0.25">
      <c r="C159" s="3" t="s">
        <v>162</v>
      </c>
      <c r="D159" s="124"/>
      <c r="E159" s="125" t="s">
        <v>349</v>
      </c>
      <c r="F159" s="1">
        <v>1201</v>
      </c>
    </row>
    <row r="160" spans="3:6" x14ac:dyDescent="0.25">
      <c r="C160" s="3" t="s">
        <v>163</v>
      </c>
      <c r="D160" s="124"/>
      <c r="E160" s="125" t="s">
        <v>350</v>
      </c>
      <c r="F160" s="1">
        <v>1000</v>
      </c>
    </row>
    <row r="161" spans="3:6" x14ac:dyDescent="0.25">
      <c r="C161" s="3" t="s">
        <v>164</v>
      </c>
      <c r="D161" s="124"/>
      <c r="E161" s="125" t="s">
        <v>350</v>
      </c>
      <c r="F161" s="1">
        <v>1000</v>
      </c>
    </row>
    <row r="162" spans="3:6" x14ac:dyDescent="0.25">
      <c r="C162" s="3" t="s">
        <v>165</v>
      </c>
      <c r="D162" s="124"/>
      <c r="E162" s="125">
        <v>500</v>
      </c>
      <c r="F162" s="1">
        <v>500</v>
      </c>
    </row>
    <row r="163" spans="3:6" x14ac:dyDescent="0.25">
      <c r="C163" s="3" t="s">
        <v>166</v>
      </c>
      <c r="D163" s="124"/>
      <c r="E163" s="125"/>
    </row>
  </sheetData>
  <sortState xmlns:xlrd2="http://schemas.microsoft.com/office/spreadsheetml/2017/richdata2" ref="A5:F144">
    <sortCondition ref="A5:A144"/>
  </sortState>
  <mergeCells count="5">
    <mergeCell ref="AA3:AA4"/>
    <mergeCell ref="AB3:AB4"/>
    <mergeCell ref="AC3:AC4"/>
    <mergeCell ref="A1:G2"/>
    <mergeCell ref="H3:J3"/>
  </mergeCells>
  <phoneticPr fontId="1" type="noConversion"/>
  <pageMargins left="0" right="0" top="0" bottom="0" header="0.51181102362204722" footer="0.51181102362204722"/>
  <pageSetup paperSize="9" scale="50"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2</vt:i4>
      </vt:variant>
    </vt:vector>
  </HeadingPairs>
  <TitlesOfParts>
    <vt:vector size="3" baseType="lpstr">
      <vt:lpstr>實際庫存-生產結餘 </vt:lpstr>
      <vt:lpstr>'實際庫存-生產結餘 '!Print_Area</vt:lpstr>
      <vt:lpstr>'實際庫存-生產結餘 '!Print_Titles</vt:lpstr>
    </vt:vector>
  </TitlesOfParts>
  <Company>MSHOME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dc:creator>
  <cp:lastModifiedBy>志強 李</cp:lastModifiedBy>
  <cp:lastPrinted>2024-12-10T08:52:39Z</cp:lastPrinted>
  <dcterms:created xsi:type="dcterms:W3CDTF">2005-10-19T06:26:29Z</dcterms:created>
  <dcterms:modified xsi:type="dcterms:W3CDTF">2026-06-29T03:03:33Z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2026-04-02T07:53:12Z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813db44b-4fc7-4365-b154-d2696095fc94</vt:lpwstr>
  </property>
  <property fmtid="{D5CDD505-2E9C-101B-9397-08002B2CF9AE}" pid="7" name="MSIP_Label_defa4170-0d19-0005-0004-bc88714345d2_ActionId">
    <vt:lpwstr>7c2f3f73-7eca-4fd6-b17a-20520326e220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